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ttendence\"/>
    </mc:Choice>
  </mc:AlternateContent>
  <bookViews>
    <workbookView xWindow="0" yWindow="0" windowWidth="25200" windowHeight="11850" tabRatio="593" firstSheet="9" activeTab="14"/>
  </bookViews>
  <sheets>
    <sheet name="Muddasir" sheetId="62" r:id="rId1"/>
    <sheet name="Ataullah" sheetId="2" r:id="rId2"/>
    <sheet name="Anwar" sheetId="3" r:id="rId3"/>
    <sheet name="Shoaib" sheetId="5" r:id="rId4"/>
    <sheet name="Bilal" sheetId="6" r:id="rId5"/>
    <sheet name="A Rafay 2 Folding  " sheetId="74" r:id="rId6"/>
    <sheet name="Amir ustaad" sheetId="44" r:id="rId7"/>
    <sheet name=" Faheem Cutting" sheetId="8" r:id="rId8"/>
    <sheet name="Daniyal" sheetId="9" r:id="rId9"/>
    <sheet name="Shahzad" sheetId="10" r:id="rId10"/>
    <sheet name="Ghaffar" sheetId="29" r:id="rId11"/>
    <sheet name="Adnan" sheetId="30" r:id="rId12"/>
    <sheet name="Najmi Bhai" sheetId="71" r:id="rId13"/>
    <sheet name="Irfan Bhai" sheetId="70" r:id="rId14"/>
    <sheet name="Ahmed" sheetId="13" r:id="rId15"/>
    <sheet name="Ali" sheetId="1" r:id="rId16"/>
    <sheet name="Amir office" sheetId="60" r:id="rId17"/>
    <sheet name="Imran Loader" sheetId="31" r:id="rId18"/>
    <sheet name="Mazhar" sheetId="12" r:id="rId19"/>
    <sheet name="Hamid" sheetId="4" r:id="rId20"/>
    <sheet name="Hassan Raza" sheetId="35" r:id="rId21"/>
    <sheet name="Ishtiaq" sheetId="32" r:id="rId22"/>
    <sheet name="Sohail printing" sheetId="67" r:id="rId23"/>
    <sheet name="Muneer" sheetId="11" r:id="rId24"/>
    <sheet name="Hunain" sheetId="46" r:id="rId25"/>
    <sheet name="Sajjad" sheetId="36" r:id="rId26"/>
    <sheet name="Fareed" sheetId="37" r:id="rId27"/>
    <sheet name="Shazil" sheetId="38" r:id="rId28"/>
    <sheet name="Sami Folding" sheetId="40" r:id="rId29"/>
    <sheet name="Arsalan" sheetId="42" r:id="rId30"/>
    <sheet name="Ubaid" sheetId="43" r:id="rId31"/>
    <sheet name="Zohaib" sheetId="34" r:id="rId32"/>
    <sheet name="Faheem Sorter" sheetId="48" r:id="rId33"/>
    <sheet name="Owais" sheetId="33" r:id="rId34"/>
    <sheet name="Hammad" sheetId="49" r:id="rId35"/>
    <sheet name="Imtiaz" sheetId="45" r:id="rId36"/>
    <sheet name="Sunny" sheetId="50" r:id="rId37"/>
    <sheet name="Rafay" sheetId="52" r:id="rId38"/>
    <sheet name="M. Faheem" sheetId="54" r:id="rId39"/>
    <sheet name="Junaid" sheetId="55" r:id="rId40"/>
    <sheet name="Umar Farooq" sheetId="73" r:id="rId41"/>
    <sheet name="Bilal Folding" sheetId="72" r:id="rId42"/>
    <sheet name="Sameer printing" sheetId="57" r:id="rId43"/>
    <sheet name="Bilal Incharge" sheetId="75" r:id="rId44"/>
    <sheet name="Sadiq " sheetId="77" r:id="rId45"/>
    <sheet name="Sohail" sheetId="47" r:id="rId4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8" i="77" l="1"/>
  <c r="I60" i="77"/>
  <c r="K56" i="77"/>
  <c r="N14" i="5" l="1"/>
  <c r="P14" i="5"/>
  <c r="O53" i="5"/>
  <c r="I64" i="77"/>
  <c r="K62" i="77"/>
  <c r="I62" i="77"/>
  <c r="K57" i="77"/>
  <c r="I61" i="77" s="1"/>
  <c r="I57" i="77"/>
  <c r="N53" i="77"/>
  <c r="I59" i="77" s="1"/>
  <c r="M53" i="77"/>
  <c r="I58" i="77" s="1"/>
  <c r="H19" i="77"/>
  <c r="I55" i="77" s="1"/>
  <c r="G19" i="77"/>
  <c r="I64" i="75"/>
  <c r="K63" i="75"/>
  <c r="I63" i="75"/>
  <c r="K62" i="75"/>
  <c r="I62" i="75"/>
  <c r="I59" i="75"/>
  <c r="K57" i="75"/>
  <c r="I57" i="75"/>
  <c r="I56" i="75"/>
  <c r="N53" i="75"/>
  <c r="M53" i="75"/>
  <c r="I58" i="75" s="1"/>
  <c r="H19" i="75"/>
  <c r="I55" i="75" s="1"/>
  <c r="G19" i="75"/>
  <c r="I64" i="57"/>
  <c r="K63" i="57"/>
  <c r="I63" i="57"/>
  <c r="K62" i="57"/>
  <c r="I62" i="57"/>
  <c r="I59" i="57"/>
  <c r="I58" i="57"/>
  <c r="I66" i="57" s="1"/>
  <c r="K57" i="57"/>
  <c r="I57" i="57"/>
  <c r="I56" i="57"/>
  <c r="I61" i="57" s="1"/>
  <c r="N53" i="57"/>
  <c r="M53" i="57"/>
  <c r="H19" i="57"/>
  <c r="I55" i="57" s="1"/>
  <c r="G19" i="57"/>
  <c r="I64" i="72"/>
  <c r="K63" i="72"/>
  <c r="I63" i="72"/>
  <c r="K62" i="72"/>
  <c r="I62" i="72"/>
  <c r="I59" i="72"/>
  <c r="K57" i="72"/>
  <c r="I57" i="72"/>
  <c r="I56" i="72"/>
  <c r="N53" i="72"/>
  <c r="M53" i="72"/>
  <c r="I58" i="72" s="1"/>
  <c r="H19" i="72"/>
  <c r="I55" i="72" s="1"/>
  <c r="G19" i="72"/>
  <c r="I64" i="73"/>
  <c r="K63" i="73"/>
  <c r="I63" i="73"/>
  <c r="K62" i="73"/>
  <c r="I62" i="73"/>
  <c r="I59" i="73"/>
  <c r="I58" i="73"/>
  <c r="I66" i="73" s="1"/>
  <c r="K57" i="73"/>
  <c r="I57" i="73"/>
  <c r="I56" i="73"/>
  <c r="I61" i="73" s="1"/>
  <c r="N53" i="73"/>
  <c r="M53" i="73"/>
  <c r="H19" i="73"/>
  <c r="I55" i="73" s="1"/>
  <c r="G19" i="73"/>
  <c r="I64" i="55"/>
  <c r="K63" i="55"/>
  <c r="I63" i="55"/>
  <c r="K62" i="55"/>
  <c r="I62" i="55"/>
  <c r="I59" i="55"/>
  <c r="I58" i="55"/>
  <c r="I66" i="55" s="1"/>
  <c r="K57" i="55"/>
  <c r="I57" i="55"/>
  <c r="I56" i="55"/>
  <c r="I61" i="55" s="1"/>
  <c r="N53" i="55"/>
  <c r="M53" i="55"/>
  <c r="H19" i="55"/>
  <c r="I55" i="55" s="1"/>
  <c r="G19" i="55"/>
  <c r="I64" i="54"/>
  <c r="K63" i="54"/>
  <c r="I63" i="54"/>
  <c r="K62" i="54"/>
  <c r="I62" i="54"/>
  <c r="I59" i="54"/>
  <c r="K57" i="54"/>
  <c r="I66" i="54" s="1"/>
  <c r="I57" i="54"/>
  <c r="I56" i="54"/>
  <c r="N53" i="54"/>
  <c r="M53" i="54"/>
  <c r="I58" i="54" s="1"/>
  <c r="H19" i="54"/>
  <c r="I55" i="54" s="1"/>
  <c r="G19" i="54"/>
  <c r="I64" i="52"/>
  <c r="K63" i="52"/>
  <c r="I63" i="52"/>
  <c r="K62" i="52"/>
  <c r="I62" i="52"/>
  <c r="I59" i="52"/>
  <c r="K57" i="52"/>
  <c r="I57" i="52"/>
  <c r="I56" i="52"/>
  <c r="I61" i="52" s="1"/>
  <c r="N53" i="52"/>
  <c r="M53" i="52"/>
  <c r="I58" i="52" s="1"/>
  <c r="H19" i="52"/>
  <c r="I55" i="52" s="1"/>
  <c r="G19" i="52"/>
  <c r="I64" i="50"/>
  <c r="K63" i="50"/>
  <c r="I63" i="50"/>
  <c r="K62" i="50"/>
  <c r="I62" i="50"/>
  <c r="I59" i="50"/>
  <c r="I58" i="50"/>
  <c r="I66" i="50" s="1"/>
  <c r="K57" i="50"/>
  <c r="I57" i="50"/>
  <c r="I56" i="50"/>
  <c r="I61" i="50" s="1"/>
  <c r="N53" i="50"/>
  <c r="M53" i="50"/>
  <c r="H19" i="50"/>
  <c r="I55" i="50" s="1"/>
  <c r="G19" i="50"/>
  <c r="I64" i="45"/>
  <c r="K63" i="45"/>
  <c r="I63" i="45"/>
  <c r="K62" i="45"/>
  <c r="I62" i="45"/>
  <c r="I59" i="45"/>
  <c r="I58" i="45"/>
  <c r="I66" i="45" s="1"/>
  <c r="K57" i="45"/>
  <c r="I57" i="45"/>
  <c r="I56" i="45"/>
  <c r="I61" i="45" s="1"/>
  <c r="N53" i="45"/>
  <c r="M53" i="45"/>
  <c r="H19" i="45"/>
  <c r="I55" i="45" s="1"/>
  <c r="G19" i="45"/>
  <c r="I64" i="49"/>
  <c r="K63" i="49"/>
  <c r="I63" i="49"/>
  <c r="K62" i="49"/>
  <c r="I62" i="49"/>
  <c r="I59" i="49"/>
  <c r="K57" i="49"/>
  <c r="I66" i="49" s="1"/>
  <c r="I57" i="49"/>
  <c r="I56" i="49"/>
  <c r="N53" i="49"/>
  <c r="M53" i="49"/>
  <c r="I58" i="49" s="1"/>
  <c r="H19" i="49"/>
  <c r="I55" i="49" s="1"/>
  <c r="G19" i="49"/>
  <c r="I64" i="33"/>
  <c r="K63" i="33"/>
  <c r="I63" i="33"/>
  <c r="K62" i="33"/>
  <c r="I62" i="33"/>
  <c r="I59" i="33"/>
  <c r="K57" i="33"/>
  <c r="I57" i="33"/>
  <c r="I56" i="33"/>
  <c r="I61" i="33" s="1"/>
  <c r="N53" i="33"/>
  <c r="M53" i="33"/>
  <c r="I58" i="33" s="1"/>
  <c r="H19" i="33"/>
  <c r="I55" i="33" s="1"/>
  <c r="G19" i="33"/>
  <c r="I64" i="48"/>
  <c r="K63" i="48"/>
  <c r="I63" i="48"/>
  <c r="K62" i="48"/>
  <c r="I62" i="48"/>
  <c r="I59" i="48"/>
  <c r="I58" i="48"/>
  <c r="I66" i="48" s="1"/>
  <c r="K57" i="48"/>
  <c r="I57" i="48"/>
  <c r="I56" i="48"/>
  <c r="I61" i="48" s="1"/>
  <c r="N53" i="48"/>
  <c r="M53" i="48"/>
  <c r="H19" i="48"/>
  <c r="I55" i="48" s="1"/>
  <c r="G19" i="48"/>
  <c r="I64" i="34"/>
  <c r="K63" i="34"/>
  <c r="I63" i="34"/>
  <c r="K62" i="34"/>
  <c r="I62" i="34"/>
  <c r="I59" i="34"/>
  <c r="I58" i="34"/>
  <c r="I66" i="34" s="1"/>
  <c r="K57" i="34"/>
  <c r="I57" i="34"/>
  <c r="I56" i="34"/>
  <c r="I61" i="34" s="1"/>
  <c r="N53" i="34"/>
  <c r="M53" i="34"/>
  <c r="H19" i="34"/>
  <c r="I55" i="34" s="1"/>
  <c r="G19" i="34"/>
  <c r="I64" i="43"/>
  <c r="K63" i="43"/>
  <c r="I63" i="43"/>
  <c r="K62" i="43"/>
  <c r="I62" i="43"/>
  <c r="I59" i="43"/>
  <c r="I58" i="43"/>
  <c r="I66" i="43" s="1"/>
  <c r="K57" i="43"/>
  <c r="I57" i="43"/>
  <c r="I56" i="43"/>
  <c r="I61" i="43" s="1"/>
  <c r="N53" i="43"/>
  <c r="M53" i="43"/>
  <c r="H19" i="43"/>
  <c r="I55" i="43" s="1"/>
  <c r="G19" i="43"/>
  <c r="I64" i="42"/>
  <c r="K63" i="42"/>
  <c r="I63" i="42"/>
  <c r="K62" i="42"/>
  <c r="I62" i="42"/>
  <c r="I59" i="42"/>
  <c r="I58" i="42"/>
  <c r="I66" i="42" s="1"/>
  <c r="K57" i="42"/>
  <c r="I57" i="42"/>
  <c r="I56" i="42"/>
  <c r="I61" i="42" s="1"/>
  <c r="N53" i="42"/>
  <c r="M53" i="42"/>
  <c r="H19" i="42"/>
  <c r="I55" i="42" s="1"/>
  <c r="G19" i="42"/>
  <c r="I64" i="40"/>
  <c r="K63" i="40"/>
  <c r="I63" i="40"/>
  <c r="K62" i="40"/>
  <c r="I62" i="40"/>
  <c r="I59" i="40"/>
  <c r="K57" i="40"/>
  <c r="I57" i="40"/>
  <c r="I56" i="40"/>
  <c r="I61" i="40" s="1"/>
  <c r="N53" i="40"/>
  <c r="M53" i="40"/>
  <c r="I58" i="40" s="1"/>
  <c r="H19" i="40"/>
  <c r="I55" i="40" s="1"/>
  <c r="G19" i="40"/>
  <c r="I64" i="38"/>
  <c r="K63" i="38"/>
  <c r="I63" i="38"/>
  <c r="K62" i="38"/>
  <c r="I62" i="38"/>
  <c r="I59" i="38"/>
  <c r="K57" i="38"/>
  <c r="I57" i="38"/>
  <c r="I56" i="38"/>
  <c r="I61" i="38" s="1"/>
  <c r="N53" i="38"/>
  <c r="M53" i="38"/>
  <c r="I58" i="38" s="1"/>
  <c r="H19" i="38"/>
  <c r="I55" i="38" s="1"/>
  <c r="G19" i="38"/>
  <c r="I64" i="37"/>
  <c r="K63" i="37"/>
  <c r="I63" i="37"/>
  <c r="K62" i="37"/>
  <c r="I62" i="37"/>
  <c r="I59" i="37"/>
  <c r="K57" i="37"/>
  <c r="I57" i="37"/>
  <c r="I56" i="37"/>
  <c r="I61" i="37" s="1"/>
  <c r="N53" i="37"/>
  <c r="M53" i="37"/>
  <c r="I58" i="37" s="1"/>
  <c r="H19" i="37"/>
  <c r="I55" i="37" s="1"/>
  <c r="G19" i="37"/>
  <c r="I64" i="36"/>
  <c r="K63" i="36"/>
  <c r="I63" i="36"/>
  <c r="K62" i="36"/>
  <c r="I62" i="36"/>
  <c r="I59" i="36"/>
  <c r="I58" i="36"/>
  <c r="I66" i="36" s="1"/>
  <c r="K57" i="36"/>
  <c r="I57" i="36"/>
  <c r="I56" i="36"/>
  <c r="I61" i="36" s="1"/>
  <c r="N53" i="36"/>
  <c r="M53" i="36"/>
  <c r="H19" i="36"/>
  <c r="I55" i="36" s="1"/>
  <c r="G19" i="36"/>
  <c r="I64" i="46"/>
  <c r="K63" i="46"/>
  <c r="I63" i="46"/>
  <c r="K62" i="46"/>
  <c r="I62" i="46"/>
  <c r="I59" i="46"/>
  <c r="I58" i="46"/>
  <c r="I66" i="46" s="1"/>
  <c r="K57" i="46"/>
  <c r="I57" i="46"/>
  <c r="I56" i="46"/>
  <c r="I61" i="46" s="1"/>
  <c r="N53" i="46"/>
  <c r="M53" i="46"/>
  <c r="H19" i="46"/>
  <c r="I55" i="46" s="1"/>
  <c r="G19" i="46"/>
  <c r="I64" i="11"/>
  <c r="K63" i="11"/>
  <c r="I63" i="11"/>
  <c r="K62" i="11"/>
  <c r="I62" i="11"/>
  <c r="I59" i="11"/>
  <c r="I58" i="11"/>
  <c r="I66" i="11" s="1"/>
  <c r="K57" i="11"/>
  <c r="I57" i="11"/>
  <c r="I56" i="11"/>
  <c r="I61" i="11" s="1"/>
  <c r="N53" i="11"/>
  <c r="M53" i="11"/>
  <c r="H19" i="11"/>
  <c r="I55" i="11" s="1"/>
  <c r="G19" i="11"/>
  <c r="I64" i="67"/>
  <c r="K63" i="67"/>
  <c r="I63" i="67"/>
  <c r="K62" i="67"/>
  <c r="I62" i="67"/>
  <c r="I59" i="67"/>
  <c r="K57" i="67"/>
  <c r="I57" i="67"/>
  <c r="I56" i="67"/>
  <c r="N53" i="67"/>
  <c r="M53" i="67"/>
  <c r="I58" i="67" s="1"/>
  <c r="H19" i="67"/>
  <c r="I55" i="67" s="1"/>
  <c r="G19" i="67"/>
  <c r="I64" i="32"/>
  <c r="K63" i="32"/>
  <c r="I63" i="32"/>
  <c r="K62" i="32"/>
  <c r="I62" i="32"/>
  <c r="I59" i="32"/>
  <c r="K57" i="32"/>
  <c r="I57" i="32"/>
  <c r="I56" i="32"/>
  <c r="I61" i="32" s="1"/>
  <c r="N53" i="32"/>
  <c r="M53" i="32"/>
  <c r="I58" i="32" s="1"/>
  <c r="H19" i="32"/>
  <c r="I55" i="32" s="1"/>
  <c r="G19" i="32"/>
  <c r="I64" i="35"/>
  <c r="K63" i="35"/>
  <c r="I63" i="35"/>
  <c r="K62" i="35"/>
  <c r="I62" i="35"/>
  <c r="I59" i="35"/>
  <c r="K57" i="35"/>
  <c r="I57" i="35"/>
  <c r="I56" i="35"/>
  <c r="I61" i="35" s="1"/>
  <c r="N53" i="35"/>
  <c r="M53" i="35"/>
  <c r="I58" i="35" s="1"/>
  <c r="H19" i="35"/>
  <c r="I55" i="35" s="1"/>
  <c r="G19" i="35"/>
  <c r="I64" i="4"/>
  <c r="K63" i="4"/>
  <c r="I63" i="4"/>
  <c r="K62" i="4"/>
  <c r="I62" i="4"/>
  <c r="I59" i="4"/>
  <c r="I58" i="4"/>
  <c r="I66" i="4" s="1"/>
  <c r="K57" i="4"/>
  <c r="I57" i="4"/>
  <c r="I56" i="4"/>
  <c r="I61" i="4" s="1"/>
  <c r="N53" i="4"/>
  <c r="M53" i="4"/>
  <c r="H19" i="4"/>
  <c r="I55" i="4" s="1"/>
  <c r="G19" i="4"/>
  <c r="I64" i="12"/>
  <c r="K63" i="12"/>
  <c r="I63" i="12"/>
  <c r="K62" i="12"/>
  <c r="I62" i="12"/>
  <c r="I59" i="12"/>
  <c r="K57" i="12"/>
  <c r="I57" i="12"/>
  <c r="I56" i="12"/>
  <c r="I61" i="12" s="1"/>
  <c r="N53" i="12"/>
  <c r="M53" i="12"/>
  <c r="I58" i="12" s="1"/>
  <c r="H19" i="12"/>
  <c r="I55" i="12" s="1"/>
  <c r="G19" i="12"/>
  <c r="I64" i="31"/>
  <c r="K63" i="31"/>
  <c r="I63" i="31"/>
  <c r="K62" i="31"/>
  <c r="I62" i="31"/>
  <c r="I59" i="31"/>
  <c r="I58" i="31"/>
  <c r="I66" i="31" s="1"/>
  <c r="K57" i="31"/>
  <c r="I57" i="31"/>
  <c r="I56" i="31"/>
  <c r="I61" i="31" s="1"/>
  <c r="N53" i="31"/>
  <c r="M53" i="31"/>
  <c r="H19" i="31"/>
  <c r="I55" i="31" s="1"/>
  <c r="G19" i="31"/>
  <c r="I64" i="60"/>
  <c r="K63" i="60"/>
  <c r="I63" i="60"/>
  <c r="K62" i="60"/>
  <c r="I62" i="60"/>
  <c r="I59" i="60"/>
  <c r="K57" i="60"/>
  <c r="I57" i="60"/>
  <c r="I56" i="60"/>
  <c r="N53" i="60"/>
  <c r="M53" i="60"/>
  <c r="I58" i="60" s="1"/>
  <c r="H19" i="60"/>
  <c r="I55" i="60" s="1"/>
  <c r="G19" i="60"/>
  <c r="I64" i="1"/>
  <c r="K63" i="1"/>
  <c r="I63" i="1"/>
  <c r="K62" i="1"/>
  <c r="I62" i="1"/>
  <c r="I59" i="1"/>
  <c r="K57" i="1"/>
  <c r="I57" i="1"/>
  <c r="I56" i="1"/>
  <c r="N53" i="1"/>
  <c r="M53" i="1"/>
  <c r="I58" i="1" s="1"/>
  <c r="H19" i="1"/>
  <c r="I55" i="1" s="1"/>
  <c r="G19" i="1"/>
  <c r="I64" i="13"/>
  <c r="K63" i="13"/>
  <c r="I63" i="13"/>
  <c r="K62" i="13"/>
  <c r="I62" i="13"/>
  <c r="I59" i="13"/>
  <c r="I58" i="13"/>
  <c r="I66" i="13" s="1"/>
  <c r="K57" i="13"/>
  <c r="I57" i="13"/>
  <c r="I56" i="13"/>
  <c r="I61" i="13" s="1"/>
  <c r="N53" i="13"/>
  <c r="M53" i="13"/>
  <c r="H19" i="13"/>
  <c r="I55" i="13" s="1"/>
  <c r="G19" i="13"/>
  <c r="I64" i="70"/>
  <c r="K63" i="70"/>
  <c r="I63" i="70"/>
  <c r="K62" i="70"/>
  <c r="I62" i="70"/>
  <c r="I59" i="70"/>
  <c r="I58" i="70"/>
  <c r="I66" i="70" s="1"/>
  <c r="K57" i="70"/>
  <c r="I57" i="70"/>
  <c r="I56" i="70"/>
  <c r="I61" i="70" s="1"/>
  <c r="N53" i="70"/>
  <c r="M53" i="70"/>
  <c r="H19" i="70"/>
  <c r="I55" i="70" s="1"/>
  <c r="G19" i="70"/>
  <c r="I64" i="71"/>
  <c r="K63" i="71"/>
  <c r="I63" i="71"/>
  <c r="K62" i="71"/>
  <c r="I62" i="71"/>
  <c r="I59" i="71"/>
  <c r="I58" i="71"/>
  <c r="I66" i="71" s="1"/>
  <c r="K57" i="71"/>
  <c r="I57" i="71"/>
  <c r="I56" i="71"/>
  <c r="I61" i="71" s="1"/>
  <c r="N53" i="71"/>
  <c r="M53" i="71"/>
  <c r="H19" i="71"/>
  <c r="I55" i="71" s="1"/>
  <c r="G19" i="71"/>
  <c r="I64" i="30"/>
  <c r="K63" i="30"/>
  <c r="I63" i="30"/>
  <c r="K62" i="30"/>
  <c r="I62" i="30"/>
  <c r="I59" i="30"/>
  <c r="K57" i="30"/>
  <c r="I57" i="30"/>
  <c r="I56" i="30"/>
  <c r="N53" i="30"/>
  <c r="M53" i="30"/>
  <c r="I58" i="30" s="1"/>
  <c r="H19" i="30"/>
  <c r="I55" i="30" s="1"/>
  <c r="G19" i="30"/>
  <c r="I64" i="29"/>
  <c r="K63" i="29"/>
  <c r="I63" i="29"/>
  <c r="K62" i="29"/>
  <c r="I62" i="29"/>
  <c r="I59" i="29"/>
  <c r="K57" i="29"/>
  <c r="I57" i="29"/>
  <c r="I56" i="29"/>
  <c r="N53" i="29"/>
  <c r="M53" i="29"/>
  <c r="I58" i="29" s="1"/>
  <c r="H19" i="29"/>
  <c r="I55" i="29" s="1"/>
  <c r="G19" i="29"/>
  <c r="I64" i="10"/>
  <c r="K63" i="10"/>
  <c r="I63" i="10"/>
  <c r="K62" i="10"/>
  <c r="I62" i="10"/>
  <c r="I59" i="10"/>
  <c r="K57" i="10"/>
  <c r="I57" i="10"/>
  <c r="I56" i="10"/>
  <c r="I61" i="10" s="1"/>
  <c r="N53" i="10"/>
  <c r="M53" i="10"/>
  <c r="I58" i="10" s="1"/>
  <c r="H19" i="10"/>
  <c r="I55" i="10" s="1"/>
  <c r="G19" i="10"/>
  <c r="I64" i="9"/>
  <c r="K63" i="9"/>
  <c r="I63" i="9"/>
  <c r="K62" i="9"/>
  <c r="I62" i="9"/>
  <c r="I59" i="9"/>
  <c r="K57" i="9"/>
  <c r="I57" i="9"/>
  <c r="I56" i="9"/>
  <c r="N53" i="9"/>
  <c r="M53" i="9"/>
  <c r="I58" i="9" s="1"/>
  <c r="H19" i="9"/>
  <c r="I55" i="9" s="1"/>
  <c r="G19" i="9"/>
  <c r="I64" i="8"/>
  <c r="K63" i="8"/>
  <c r="I63" i="8"/>
  <c r="K62" i="8"/>
  <c r="I62" i="8"/>
  <c r="I59" i="8"/>
  <c r="I58" i="8"/>
  <c r="K57" i="8"/>
  <c r="I57" i="8"/>
  <c r="I56" i="8"/>
  <c r="I61" i="8" s="1"/>
  <c r="N53" i="8"/>
  <c r="M53" i="8"/>
  <c r="H19" i="8"/>
  <c r="I55" i="8" s="1"/>
  <c r="G19" i="8"/>
  <c r="I64" i="44"/>
  <c r="K63" i="44"/>
  <c r="I63" i="44"/>
  <c r="K62" i="44"/>
  <c r="I62" i="44"/>
  <c r="I59" i="44"/>
  <c r="K57" i="44"/>
  <c r="I57" i="44"/>
  <c r="I56" i="44"/>
  <c r="N53" i="44"/>
  <c r="M53" i="44"/>
  <c r="I58" i="44" s="1"/>
  <c r="H19" i="44"/>
  <c r="I55" i="44" s="1"/>
  <c r="G19" i="44"/>
  <c r="I64" i="74"/>
  <c r="K63" i="74"/>
  <c r="I63" i="74"/>
  <c r="K62" i="74"/>
  <c r="I62" i="74"/>
  <c r="I59" i="74"/>
  <c r="I58" i="74"/>
  <c r="K57" i="74"/>
  <c r="I57" i="74"/>
  <c r="I56" i="74"/>
  <c r="I61" i="74" s="1"/>
  <c r="N53" i="74"/>
  <c r="M53" i="74"/>
  <c r="H19" i="74"/>
  <c r="I55" i="74" s="1"/>
  <c r="G19" i="74"/>
  <c r="I64" i="6"/>
  <c r="K63" i="6"/>
  <c r="I63" i="6"/>
  <c r="K62" i="6"/>
  <c r="I62" i="6"/>
  <c r="I59" i="6"/>
  <c r="I58" i="6"/>
  <c r="K57" i="6"/>
  <c r="I57" i="6"/>
  <c r="I56" i="6"/>
  <c r="I61" i="6" s="1"/>
  <c r="N53" i="6"/>
  <c r="M53" i="6"/>
  <c r="H19" i="6"/>
  <c r="I55" i="6" s="1"/>
  <c r="G19" i="6"/>
  <c r="I64" i="5"/>
  <c r="K63" i="5"/>
  <c r="I63" i="5"/>
  <c r="K62" i="5"/>
  <c r="I62" i="5"/>
  <c r="I59" i="5"/>
  <c r="I58" i="5"/>
  <c r="K57" i="5"/>
  <c r="I57" i="5"/>
  <c r="I56" i="5"/>
  <c r="I61" i="5" s="1"/>
  <c r="N53" i="5"/>
  <c r="M53" i="5"/>
  <c r="H19" i="5"/>
  <c r="I55" i="5" s="1"/>
  <c r="G19" i="5"/>
  <c r="I64" i="3"/>
  <c r="K63" i="3"/>
  <c r="I63" i="3"/>
  <c r="K62" i="3"/>
  <c r="I62" i="3"/>
  <c r="I59" i="3"/>
  <c r="K57" i="3"/>
  <c r="I57" i="3"/>
  <c r="I56" i="3"/>
  <c r="I61" i="3" s="1"/>
  <c r="N53" i="3"/>
  <c r="M53" i="3"/>
  <c r="I58" i="3" s="1"/>
  <c r="H19" i="3"/>
  <c r="I55" i="3" s="1"/>
  <c r="G19" i="3"/>
  <c r="H19" i="2"/>
  <c r="P14" i="2"/>
  <c r="N14" i="2"/>
  <c r="M53" i="2"/>
  <c r="N53" i="2"/>
  <c r="I68" i="47"/>
  <c r="I66" i="75" l="1"/>
  <c r="I61" i="75"/>
  <c r="I66" i="72"/>
  <c r="I61" i="72"/>
  <c r="I61" i="54"/>
  <c r="I66" i="52"/>
  <c r="I61" i="49"/>
  <c r="I66" i="33"/>
  <c r="I66" i="40"/>
  <c r="I66" i="38"/>
  <c r="I66" i="37"/>
  <c r="I66" i="67"/>
  <c r="I61" i="67"/>
  <c r="I66" i="32"/>
  <c r="I66" i="35"/>
  <c r="I66" i="12"/>
  <c r="I66" i="60"/>
  <c r="I61" i="60"/>
  <c r="I66" i="1"/>
  <c r="I61" i="1"/>
  <c r="I66" i="30"/>
  <c r="I61" i="30"/>
  <c r="I66" i="29"/>
  <c r="I61" i="29"/>
  <c r="I66" i="10"/>
  <c r="I61" i="9"/>
  <c r="I66" i="44"/>
  <c r="I61" i="44"/>
  <c r="I55" i="47"/>
  <c r="I57" i="47"/>
  <c r="K57" i="47"/>
  <c r="I58" i="47"/>
  <c r="I61" i="47" s="1"/>
  <c r="I59" i="47"/>
  <c r="I62" i="47"/>
  <c r="K62" i="47"/>
  <c r="I66" i="47" l="1"/>
  <c r="AS85" i="47"/>
  <c r="AO85" i="47"/>
  <c r="AV85" i="47" s="1"/>
  <c r="AU84" i="47"/>
  <c r="AT84" i="47"/>
  <c r="AW84" i="47" s="1"/>
  <c r="AS84" i="47"/>
  <c r="AO84" i="47"/>
  <c r="AV84" i="47" s="1"/>
  <c r="N53" i="47"/>
  <c r="M53" i="47"/>
  <c r="H19" i="47"/>
  <c r="G19" i="47"/>
  <c r="M14" i="47"/>
  <c r="J14" i="47"/>
  <c r="K14" i="47" s="1"/>
  <c r="AT85" i="47" l="1"/>
  <c r="AU85" i="47"/>
  <c r="AW85" i="47" l="1"/>
  <c r="N14" i="70"/>
  <c r="N14" i="75"/>
  <c r="N14" i="71"/>
  <c r="N14" i="72" l="1"/>
  <c r="N14" i="73"/>
  <c r="P14" i="55"/>
  <c r="P14" i="40" l="1"/>
  <c r="M14" i="38"/>
  <c r="N14" i="60" l="1"/>
  <c r="P14" i="1"/>
  <c r="P14" i="6"/>
  <c r="N14" i="10"/>
  <c r="N14" i="74"/>
  <c r="P14" i="3" l="1"/>
  <c r="N14" i="3"/>
  <c r="I64" i="2" l="1"/>
  <c r="K63" i="2" l="1"/>
  <c r="I63" i="2"/>
  <c r="K62" i="2"/>
  <c r="I62" i="2"/>
  <c r="K57" i="2"/>
  <c r="I57" i="2"/>
  <c r="I56" i="2"/>
  <c r="I55" i="2"/>
  <c r="AU82" i="77" l="1"/>
  <c r="AS82" i="77"/>
  <c r="AT82" i="77" s="1"/>
  <c r="AO82" i="77"/>
  <c r="AV82" i="77" s="1"/>
  <c r="AU81" i="77"/>
  <c r="AS81" i="77"/>
  <c r="AO81" i="77"/>
  <c r="AT81" i="77" s="1"/>
  <c r="M14" i="77"/>
  <c r="I66" i="77" s="1"/>
  <c r="K14" i="77"/>
  <c r="J14" i="77"/>
  <c r="AW82" i="77" l="1"/>
  <c r="AV81" i="77"/>
  <c r="AW81" i="77" s="1"/>
  <c r="AS82" i="75" l="1"/>
  <c r="AO82" i="75"/>
  <c r="AV82" i="75" s="1"/>
  <c r="AU81" i="75"/>
  <c r="AT81" i="75"/>
  <c r="AW81" i="75" s="1"/>
  <c r="AS81" i="75"/>
  <c r="AO81" i="75"/>
  <c r="AV81" i="75" s="1"/>
  <c r="P14" i="75"/>
  <c r="J14" i="75"/>
  <c r="K14" i="75" l="1"/>
  <c r="M14" i="75"/>
  <c r="AT82" i="75"/>
  <c r="AW82" i="75" s="1"/>
  <c r="AU82" i="75"/>
  <c r="K60" i="62"/>
  <c r="I60" i="62"/>
  <c r="K59" i="62"/>
  <c r="I59" i="62"/>
  <c r="K54" i="62"/>
  <c r="I54" i="62"/>
  <c r="I53" i="62"/>
  <c r="I52" i="62"/>
  <c r="I56" i="62"/>
  <c r="I55" i="62"/>
  <c r="I58" i="2"/>
  <c r="M14" i="3"/>
  <c r="I66" i="3" s="1"/>
  <c r="J14" i="3"/>
  <c r="K14" i="3" l="1"/>
  <c r="I58" i="62"/>
  <c r="I63" i="62"/>
  <c r="AS82" i="74" l="1"/>
  <c r="AO82" i="74"/>
  <c r="AV82" i="74" s="1"/>
  <c r="AS81" i="74"/>
  <c r="AO81" i="74"/>
  <c r="AU81" i="74" s="1"/>
  <c r="P14" i="74"/>
  <c r="J14" i="74"/>
  <c r="AT82" i="73"/>
  <c r="AS82" i="73"/>
  <c r="AO82" i="73"/>
  <c r="AV82" i="73" s="1"/>
  <c r="AS81" i="73"/>
  <c r="AO81" i="73"/>
  <c r="AU81" i="73" s="1"/>
  <c r="P14" i="73"/>
  <c r="J14" i="73"/>
  <c r="AS82" i="72"/>
  <c r="AO82" i="72"/>
  <c r="AV82" i="72" s="1"/>
  <c r="AS81" i="72"/>
  <c r="AO81" i="72"/>
  <c r="AV81" i="72" s="1"/>
  <c r="P14" i="72"/>
  <c r="J14" i="72"/>
  <c r="M14" i="73" l="1"/>
  <c r="K14" i="73"/>
  <c r="K14" i="72"/>
  <c r="M14" i="74"/>
  <c r="I66" i="74" s="1"/>
  <c r="AT82" i="74"/>
  <c r="AT81" i="72"/>
  <c r="M14" i="72"/>
  <c r="AU81" i="72"/>
  <c r="AU82" i="74"/>
  <c r="AW82" i="74" s="1"/>
  <c r="AV81" i="74"/>
  <c r="K14" i="74"/>
  <c r="AT81" i="74"/>
  <c r="AW81" i="74" s="1"/>
  <c r="AW82" i="73"/>
  <c r="AV81" i="73"/>
  <c r="AU82" i="73"/>
  <c r="AT81" i="73"/>
  <c r="AW81" i="73" s="1"/>
  <c r="AT82" i="72"/>
  <c r="AU82" i="72"/>
  <c r="AS82" i="71"/>
  <c r="AO82" i="71"/>
  <c r="AV82" i="71" s="1"/>
  <c r="AS81" i="71"/>
  <c r="AO81" i="71"/>
  <c r="AU81" i="71" s="1"/>
  <c r="P14" i="71"/>
  <c r="J14" i="71"/>
  <c r="AU82" i="70"/>
  <c r="AS82" i="70"/>
  <c r="AO82" i="70"/>
  <c r="AT82" i="70" s="1"/>
  <c r="AU81" i="70"/>
  <c r="AS81" i="70"/>
  <c r="AT81" i="70" s="1"/>
  <c r="AO81" i="70"/>
  <c r="AV81" i="70" s="1"/>
  <c r="P14" i="70"/>
  <c r="J14" i="70"/>
  <c r="M14" i="70" s="1"/>
  <c r="M14" i="71" l="1"/>
  <c r="AW81" i="72"/>
  <c r="AT82" i="71"/>
  <c r="AU82" i="71"/>
  <c r="AW82" i="72"/>
  <c r="AW82" i="71"/>
  <c r="AV81" i="71"/>
  <c r="K14" i="71"/>
  <c r="AT81" i="71"/>
  <c r="AW81" i="71" s="1"/>
  <c r="AW81" i="70"/>
  <c r="K14" i="70"/>
  <c r="AV82" i="70"/>
  <c r="AW82" i="70" s="1"/>
  <c r="P14" i="62" l="1"/>
  <c r="N14" i="34" l="1"/>
  <c r="I59" i="2"/>
  <c r="I61" i="2" l="1"/>
  <c r="AS82" i="67"/>
  <c r="AO82" i="67"/>
  <c r="AV82" i="67" s="1"/>
  <c r="AS81" i="67"/>
  <c r="AO81" i="67"/>
  <c r="AT81" i="67" s="1"/>
  <c r="P14" i="67"/>
  <c r="N14" i="67"/>
  <c r="J14" i="67"/>
  <c r="M14" i="67" s="1"/>
  <c r="AU81" i="67" l="1"/>
  <c r="AW81" i="67" s="1"/>
  <c r="AT82" i="67"/>
  <c r="AU82" i="67"/>
  <c r="AV81" i="67"/>
  <c r="K14" i="67"/>
  <c r="AW82" i="67" l="1"/>
  <c r="AS82" i="62" l="1"/>
  <c r="AO82" i="62"/>
  <c r="AV82" i="62" s="1"/>
  <c r="AS81" i="62"/>
  <c r="AO81" i="62"/>
  <c r="AU81" i="62" s="1"/>
  <c r="H19" i="62"/>
  <c r="G19" i="62"/>
  <c r="J14" i="62"/>
  <c r="M14" i="62" s="1"/>
  <c r="P14" i="60"/>
  <c r="J14" i="60"/>
  <c r="M14" i="60" s="1"/>
  <c r="P14" i="57"/>
  <c r="J14" i="57"/>
  <c r="K14" i="57" s="1"/>
  <c r="N14" i="55"/>
  <c r="J14" i="55"/>
  <c r="M14" i="55" s="1"/>
  <c r="P14" i="54"/>
  <c r="N14" i="54"/>
  <c r="J14" i="54"/>
  <c r="M14" i="54" s="1"/>
  <c r="P14" i="52"/>
  <c r="N14" i="52"/>
  <c r="J14" i="52"/>
  <c r="M14" i="52" s="1"/>
  <c r="P14" i="50"/>
  <c r="N14" i="50"/>
  <c r="M14" i="50"/>
  <c r="J14" i="50"/>
  <c r="K14" i="50" s="1"/>
  <c r="P14" i="45"/>
  <c r="N14" i="45"/>
  <c r="J14" i="45"/>
  <c r="M14" i="45" s="1"/>
  <c r="P14" i="49"/>
  <c r="N14" i="49"/>
  <c r="J14" i="49"/>
  <c r="M14" i="49" s="1"/>
  <c r="P14" i="33"/>
  <c r="N14" i="33"/>
  <c r="J14" i="33"/>
  <c r="M14" i="33" s="1"/>
  <c r="P14" i="48"/>
  <c r="N14" i="48"/>
  <c r="J14" i="48"/>
  <c r="M14" i="48" s="1"/>
  <c r="P14" i="34"/>
  <c r="J14" i="34"/>
  <c r="M14" i="34" s="1"/>
  <c r="P14" i="43"/>
  <c r="N14" i="43"/>
  <c r="J14" i="43"/>
  <c r="M14" i="43" s="1"/>
  <c r="P14" i="42"/>
  <c r="N14" i="42"/>
  <c r="J14" i="42"/>
  <c r="M14" i="42" s="1"/>
  <c r="N14" i="40"/>
  <c r="J14" i="40"/>
  <c r="M14" i="40" s="1"/>
  <c r="P14" i="38"/>
  <c r="N14" i="38"/>
  <c r="J14" i="38"/>
  <c r="P14" i="37"/>
  <c r="N14" i="37"/>
  <c r="J14" i="37"/>
  <c r="M14" i="37" s="1"/>
  <c r="P14" i="36"/>
  <c r="N14" i="36"/>
  <c r="J14" i="36"/>
  <c r="P14" i="46"/>
  <c r="N14" i="46"/>
  <c r="J14" i="46"/>
  <c r="M14" i="46" s="1"/>
  <c r="P14" i="11"/>
  <c r="N14" i="11"/>
  <c r="J14" i="11"/>
  <c r="M14" i="11" s="1"/>
  <c r="P14" i="32"/>
  <c r="N14" i="32"/>
  <c r="J14" i="32"/>
  <c r="M14" i="32" s="1"/>
  <c r="P14" i="35"/>
  <c r="N14" i="35"/>
  <c r="J14" i="35"/>
  <c r="M14" i="35" s="1"/>
  <c r="P14" i="4"/>
  <c r="N14" i="4"/>
  <c r="J14" i="4"/>
  <c r="M14" i="4" s="1"/>
  <c r="P14" i="12"/>
  <c r="N14" i="12"/>
  <c r="J14" i="12"/>
  <c r="M14" i="12" s="1"/>
  <c r="P14" i="31"/>
  <c r="J14" i="31"/>
  <c r="M14" i="31" s="1"/>
  <c r="N14" i="1"/>
  <c r="J14" i="1"/>
  <c r="M14" i="1" s="1"/>
  <c r="P14" i="13"/>
  <c r="J14" i="13"/>
  <c r="M14" i="13" s="1"/>
  <c r="P14" i="30"/>
  <c r="N14" i="30"/>
  <c r="J14" i="30"/>
  <c r="P14" i="29"/>
  <c r="N14" i="29"/>
  <c r="J14" i="29"/>
  <c r="M14" i="29" s="1"/>
  <c r="P14" i="10"/>
  <c r="J14" i="10"/>
  <c r="M14" i="10" s="1"/>
  <c r="P14" i="9"/>
  <c r="N14" i="9"/>
  <c r="J14" i="9"/>
  <c r="M14" i="9" s="1"/>
  <c r="I66" i="9" s="1"/>
  <c r="P14" i="8"/>
  <c r="N14" i="8"/>
  <c r="J14" i="8"/>
  <c r="M14" i="8" s="1"/>
  <c r="I66" i="8" s="1"/>
  <c r="P14" i="44"/>
  <c r="N14" i="44"/>
  <c r="J14" i="44"/>
  <c r="M14" i="44" s="1"/>
  <c r="N14" i="6"/>
  <c r="J14" i="6"/>
  <c r="M14" i="6" s="1"/>
  <c r="I66" i="6" s="1"/>
  <c r="J14" i="5"/>
  <c r="M14" i="5" s="1"/>
  <c r="I66" i="5" s="1"/>
  <c r="M14" i="57" l="1"/>
  <c r="M14" i="36"/>
  <c r="M14" i="30"/>
  <c r="AT82" i="62"/>
  <c r="AV81" i="62"/>
  <c r="AU82" i="62"/>
  <c r="AW82" i="62" s="1"/>
  <c r="K14" i="34"/>
  <c r="K14" i="11"/>
  <c r="K14" i="10"/>
  <c r="K14" i="8"/>
  <c r="K14" i="43"/>
  <c r="K14" i="55"/>
  <c r="K14" i="54"/>
  <c r="K14" i="45"/>
  <c r="K14" i="49"/>
  <c r="K14" i="37"/>
  <c r="K14" i="46"/>
  <c r="K14" i="32"/>
  <c r="K14" i="1"/>
  <c r="K14" i="12"/>
  <c r="K14" i="60"/>
  <c r="K14" i="30"/>
  <c r="K14" i="33"/>
  <c r="K14" i="62"/>
  <c r="AT81" i="62"/>
  <c r="AW81" i="62" s="1"/>
  <c r="K14" i="52"/>
  <c r="K14" i="48"/>
  <c r="K14" i="42"/>
  <c r="K14" i="40"/>
  <c r="K14" i="38"/>
  <c r="K14" i="36"/>
  <c r="K14" i="35"/>
  <c r="K14" i="4"/>
  <c r="K14" i="31"/>
  <c r="K14" i="13"/>
  <c r="K14" i="29"/>
  <c r="K14" i="9"/>
  <c r="K14" i="44"/>
  <c r="K14" i="6"/>
  <c r="K14" i="5"/>
  <c r="J14" i="2"/>
  <c r="G19" i="2"/>
  <c r="M14" i="2" l="1"/>
  <c r="I66" i="2" s="1"/>
  <c r="K14" i="2"/>
  <c r="AS82" i="60" l="1"/>
  <c r="AO82" i="60"/>
  <c r="AV82" i="60" s="1"/>
  <c r="AS81" i="60"/>
  <c r="AO81" i="60"/>
  <c r="AV81" i="60" s="1"/>
  <c r="AT81" i="60" l="1"/>
  <c r="AU81" i="60"/>
  <c r="AW81" i="60" s="1"/>
  <c r="AT82" i="60"/>
  <c r="AU82" i="60"/>
  <c r="AW82" i="60" l="1"/>
  <c r="AS82" i="57" l="1"/>
  <c r="AO82" i="57"/>
  <c r="AU82" i="57" s="1"/>
  <c r="AT81" i="57"/>
  <c r="AS81" i="57"/>
  <c r="AO81" i="57"/>
  <c r="AV81" i="57" s="1"/>
  <c r="AS82" i="55"/>
  <c r="AO82" i="55"/>
  <c r="AU82" i="55" s="1"/>
  <c r="AU81" i="55"/>
  <c r="AT81" i="55"/>
  <c r="AS81" i="55"/>
  <c r="AO81" i="55"/>
  <c r="AV81" i="55" s="1"/>
  <c r="AS82" i="54"/>
  <c r="AT82" i="54" s="1"/>
  <c r="AO82" i="54"/>
  <c r="AV82" i="54" s="1"/>
  <c r="AS81" i="54"/>
  <c r="AO81" i="54"/>
  <c r="AU81" i="54" s="1"/>
  <c r="AS82" i="52"/>
  <c r="AT82" i="52" s="1"/>
  <c r="AO82" i="52"/>
  <c r="AU82" i="52" s="1"/>
  <c r="AS81" i="52"/>
  <c r="AO81" i="52"/>
  <c r="AU81" i="52" s="1"/>
  <c r="AS82" i="50"/>
  <c r="AO82" i="50"/>
  <c r="AV82" i="50" s="1"/>
  <c r="AS81" i="50"/>
  <c r="AO81" i="50"/>
  <c r="AU81" i="50" s="1"/>
  <c r="AS82" i="49"/>
  <c r="AO82" i="49"/>
  <c r="AV82" i="49" s="1"/>
  <c r="AU81" i="49"/>
  <c r="AS81" i="49"/>
  <c r="AO81" i="49"/>
  <c r="AV81" i="49" s="1"/>
  <c r="AS82" i="48"/>
  <c r="AT82" i="48" s="1"/>
  <c r="AO82" i="48"/>
  <c r="AV82" i="48" s="1"/>
  <c r="AS81" i="48"/>
  <c r="AO81" i="48"/>
  <c r="AT81" i="48" s="1"/>
  <c r="AU81" i="57" l="1"/>
  <c r="AV81" i="54"/>
  <c r="AV82" i="52"/>
  <c r="AT82" i="50"/>
  <c r="AT81" i="49"/>
  <c r="AU81" i="48"/>
  <c r="AW81" i="48" s="1"/>
  <c r="AW81" i="57"/>
  <c r="AV82" i="57"/>
  <c r="AT82" i="57"/>
  <c r="AW82" i="57" s="1"/>
  <c r="AW81" i="55"/>
  <c r="AV82" i="55"/>
  <c r="AT82" i="55"/>
  <c r="AW82" i="55" s="1"/>
  <c r="AU82" i="54"/>
  <c r="AW82" i="54" s="1"/>
  <c r="AT81" i="54"/>
  <c r="AW81" i="54" s="1"/>
  <c r="AW82" i="52"/>
  <c r="AV81" i="52"/>
  <c r="AT81" i="52"/>
  <c r="AW81" i="52" s="1"/>
  <c r="AU82" i="50"/>
  <c r="AW82" i="50" s="1"/>
  <c r="AV81" i="50"/>
  <c r="AT81" i="50"/>
  <c r="AW81" i="50" s="1"/>
  <c r="AW81" i="49"/>
  <c r="AT82" i="49"/>
  <c r="AW82" i="49" s="1"/>
  <c r="AU82" i="49"/>
  <c r="AU82" i="48"/>
  <c r="AW82" i="48" s="1"/>
  <c r="AV81" i="48"/>
  <c r="AS82" i="46"/>
  <c r="AO82" i="46"/>
  <c r="AV82" i="46" s="1"/>
  <c r="AU81" i="46"/>
  <c r="AT81" i="46"/>
  <c r="AW81" i="46" s="1"/>
  <c r="AS81" i="46"/>
  <c r="AO81" i="46"/>
  <c r="AV81" i="46" s="1"/>
  <c r="AU82" i="45"/>
  <c r="AS82" i="45"/>
  <c r="AT82" i="45" s="1"/>
  <c r="AO82" i="45"/>
  <c r="AV82" i="45" s="1"/>
  <c r="AS81" i="45"/>
  <c r="AO81" i="45"/>
  <c r="AU81" i="45" s="1"/>
  <c r="AS82" i="43"/>
  <c r="AT82" i="43" s="1"/>
  <c r="AO82" i="43"/>
  <c r="AV82" i="43" s="1"/>
  <c r="AS81" i="43"/>
  <c r="AO81" i="43"/>
  <c r="AU81" i="43" s="1"/>
  <c r="AS82" i="42"/>
  <c r="AO82" i="42"/>
  <c r="AV82" i="42" s="1"/>
  <c r="AS81" i="42"/>
  <c r="AO81" i="42"/>
  <c r="AV81" i="42" s="1"/>
  <c r="AS82" i="40"/>
  <c r="AO82" i="40"/>
  <c r="AV82" i="40" s="1"/>
  <c r="AU81" i="40"/>
  <c r="AT81" i="40"/>
  <c r="AW81" i="40" s="1"/>
  <c r="AS81" i="40"/>
  <c r="AO81" i="40"/>
  <c r="AV81" i="40" s="1"/>
  <c r="AS82" i="38"/>
  <c r="AO82" i="38"/>
  <c r="AV82" i="38" s="1"/>
  <c r="AS81" i="38"/>
  <c r="AO81" i="38"/>
  <c r="AU81" i="38" s="1"/>
  <c r="AS82" i="37"/>
  <c r="AT82" i="37" s="1"/>
  <c r="AO82" i="37"/>
  <c r="AV82" i="37" s="1"/>
  <c r="AS81" i="37"/>
  <c r="AO81" i="37"/>
  <c r="AT81" i="37" s="1"/>
  <c r="AS82" i="36"/>
  <c r="AO82" i="36"/>
  <c r="AV82" i="36" s="1"/>
  <c r="AS81" i="36"/>
  <c r="AO81" i="36"/>
  <c r="AV81" i="36" s="1"/>
  <c r="AU81" i="36" l="1"/>
  <c r="AT81" i="36"/>
  <c r="AT81" i="42"/>
  <c r="AW81" i="42" s="1"/>
  <c r="AU81" i="42"/>
  <c r="AT82" i="38"/>
  <c r="AW82" i="38" s="1"/>
  <c r="AU82" i="38"/>
  <c r="AU81" i="37"/>
  <c r="AW81" i="36"/>
  <c r="AU82" i="36"/>
  <c r="AT82" i="46"/>
  <c r="AW82" i="46" s="1"/>
  <c r="AU82" i="46"/>
  <c r="AW82" i="45"/>
  <c r="AT81" i="45"/>
  <c r="AV81" i="45"/>
  <c r="AU82" i="43"/>
  <c r="AW82" i="43" s="1"/>
  <c r="AV81" i="43"/>
  <c r="AT81" i="43"/>
  <c r="AW81" i="43" s="1"/>
  <c r="AT82" i="42"/>
  <c r="AW82" i="42" s="1"/>
  <c r="AU82" i="42"/>
  <c r="AT82" i="40"/>
  <c r="AU82" i="40"/>
  <c r="AT81" i="38"/>
  <c r="AV81" i="38"/>
  <c r="AU82" i="37"/>
  <c r="AW82" i="37" s="1"/>
  <c r="AV81" i="37"/>
  <c r="AW81" i="37" s="1"/>
  <c r="AT82" i="36"/>
  <c r="AW82" i="36" s="1"/>
  <c r="AS82" i="34"/>
  <c r="AT82" i="34" s="1"/>
  <c r="AO82" i="34"/>
  <c r="AV82" i="34" s="1"/>
  <c r="AS81" i="34"/>
  <c r="AO81" i="34"/>
  <c r="AU81" i="34" s="1"/>
  <c r="AW81" i="45" l="1"/>
  <c r="AW82" i="40"/>
  <c r="AW81" i="38"/>
  <c r="AU82" i="34"/>
  <c r="AW82" i="34" s="1"/>
  <c r="AT81" i="34"/>
  <c r="AV81" i="34"/>
  <c r="AU82" i="33"/>
  <c r="AS82" i="33"/>
  <c r="AO82" i="33"/>
  <c r="AT82" i="33" s="1"/>
  <c r="AU81" i="33"/>
  <c r="AS81" i="33"/>
  <c r="AT81" i="33" s="1"/>
  <c r="AW81" i="33" s="1"/>
  <c r="AO81" i="33"/>
  <c r="AV81" i="33" s="1"/>
  <c r="AU82" i="32"/>
  <c r="AS82" i="32"/>
  <c r="AO82" i="32"/>
  <c r="AT82" i="32" s="1"/>
  <c r="AS81" i="32"/>
  <c r="AT81" i="32" s="1"/>
  <c r="AO81" i="32"/>
  <c r="AV81" i="32" s="1"/>
  <c r="AU81" i="32" l="1"/>
  <c r="AW81" i="34"/>
  <c r="AV82" i="33"/>
  <c r="AW82" i="33" s="1"/>
  <c r="AW81" i="32"/>
  <c r="AV82" i="32"/>
  <c r="AW82" i="32" s="1"/>
  <c r="AS82" i="11" l="1"/>
  <c r="AO82" i="11"/>
  <c r="AV82" i="11" s="1"/>
  <c r="AS81" i="11"/>
  <c r="AO81" i="11"/>
  <c r="AV81" i="11" s="1"/>
  <c r="AU81" i="11" l="1"/>
  <c r="AT81" i="11"/>
  <c r="AW81" i="11" s="1"/>
  <c r="AT82" i="11"/>
  <c r="AU82" i="11"/>
  <c r="AW82" i="11" l="1"/>
</calcChain>
</file>

<file path=xl/sharedStrings.xml><?xml version="1.0" encoding="utf-8"?>
<sst xmlns="http://schemas.openxmlformats.org/spreadsheetml/2006/main" count="4287" uniqueCount="168">
  <si>
    <t>Name</t>
  </si>
  <si>
    <t>Ali</t>
  </si>
  <si>
    <t>Day salary</t>
  </si>
  <si>
    <t>Tea</t>
  </si>
  <si>
    <t>Advance</t>
  </si>
  <si>
    <t>Night</t>
  </si>
  <si>
    <t>Total</t>
  </si>
  <si>
    <t>Attendence</t>
  </si>
  <si>
    <t>Entry</t>
  </si>
  <si>
    <t>Exit</t>
  </si>
  <si>
    <t>Days</t>
  </si>
  <si>
    <t>EMPLOYEE SALARY SHEET</t>
  </si>
  <si>
    <t>ID NO.</t>
  </si>
  <si>
    <t xml:space="preserve">NAME </t>
  </si>
  <si>
    <t xml:space="preserve">DISIGNATION </t>
  </si>
  <si>
    <t xml:space="preserve">BASIC SALARY </t>
  </si>
  <si>
    <t xml:space="preserve">ATTENDANCE </t>
  </si>
  <si>
    <t xml:space="preserve">SALARY </t>
  </si>
  <si>
    <t>House Rent Allowance H.R.A</t>
  </si>
  <si>
    <t>CONVENCE</t>
  </si>
  <si>
    <t>Overtime in Hrs</t>
  </si>
  <si>
    <t>Overtime salary</t>
  </si>
  <si>
    <t>GROSS SALARY</t>
  </si>
  <si>
    <t>Provident fund P.F</t>
  </si>
  <si>
    <t>Employee State Insurance E.S.I</t>
  </si>
  <si>
    <t>In Hand Salary</t>
  </si>
  <si>
    <t>USMAN KHAN</t>
  </si>
  <si>
    <t>MANAGER</t>
  </si>
  <si>
    <t>UMAIR ALI</t>
  </si>
  <si>
    <t>ASST.MANAGER</t>
  </si>
  <si>
    <t xml:space="preserve">Basic Salary </t>
  </si>
  <si>
    <t>Overtime in Hours</t>
  </si>
  <si>
    <t>Food</t>
  </si>
  <si>
    <t>Ataullah</t>
  </si>
  <si>
    <t>Anwar</t>
  </si>
  <si>
    <t>Hamid</t>
  </si>
  <si>
    <t>Shoaib</t>
  </si>
  <si>
    <t>Bilal</t>
  </si>
  <si>
    <t>Daniyal</t>
  </si>
  <si>
    <t>Shahzad</t>
  </si>
  <si>
    <t>Muneer</t>
  </si>
  <si>
    <t>Mazhar</t>
  </si>
  <si>
    <t>Ahmed</t>
  </si>
  <si>
    <t>Late</t>
  </si>
  <si>
    <t>Sunday</t>
  </si>
  <si>
    <t>No</t>
  </si>
  <si>
    <t>Thursday</t>
  </si>
  <si>
    <t>Friday</t>
  </si>
  <si>
    <t>Saturday</t>
  </si>
  <si>
    <t>Monday</t>
  </si>
  <si>
    <t>Tuesday</t>
  </si>
  <si>
    <t>Wednesday</t>
  </si>
  <si>
    <t>Holiday</t>
  </si>
  <si>
    <t>Lunch</t>
  </si>
  <si>
    <t>Overtime</t>
  </si>
  <si>
    <t>Ghaffar</t>
  </si>
  <si>
    <t>Adnan</t>
  </si>
  <si>
    <t>Ishtiaq</t>
  </si>
  <si>
    <t>Zohaib</t>
  </si>
  <si>
    <t>Hassan raza</t>
  </si>
  <si>
    <t>Sajjad</t>
  </si>
  <si>
    <t>Fareed</t>
  </si>
  <si>
    <t>Shazil</t>
  </si>
  <si>
    <t xml:space="preserve"> </t>
  </si>
  <si>
    <t>Arsalan</t>
  </si>
  <si>
    <t>Ubaid</t>
  </si>
  <si>
    <t>Imtiaz</t>
  </si>
  <si>
    <t>Hunain</t>
  </si>
  <si>
    <t>Sohail</t>
  </si>
  <si>
    <t>Hammad</t>
  </si>
  <si>
    <t>Sunny</t>
  </si>
  <si>
    <t>Rafay</t>
  </si>
  <si>
    <t>Junaid</t>
  </si>
  <si>
    <t>Sameer</t>
  </si>
  <si>
    <t>Salary</t>
  </si>
  <si>
    <t>Absent</t>
  </si>
  <si>
    <t>Loan</t>
  </si>
  <si>
    <t>Gross Total</t>
  </si>
  <si>
    <t>Gross salary</t>
  </si>
  <si>
    <t>Hourly</t>
  </si>
  <si>
    <t>Operator</t>
  </si>
  <si>
    <t>Final Salary</t>
  </si>
  <si>
    <t xml:space="preserve"> overtime Salary</t>
  </si>
  <si>
    <t>Late Detection</t>
  </si>
  <si>
    <t>Muddasir</t>
  </si>
  <si>
    <t>Amir ustad</t>
  </si>
  <si>
    <t>Faheem cutting</t>
  </si>
  <si>
    <t>Imran loader</t>
  </si>
  <si>
    <t>Sami folding</t>
  </si>
  <si>
    <t>Faheem sorter</t>
  </si>
  <si>
    <t>M.faheem</t>
  </si>
  <si>
    <t>Amir haleem</t>
  </si>
  <si>
    <t>Helper</t>
  </si>
  <si>
    <t>Printing</t>
  </si>
  <si>
    <t>Cutting</t>
  </si>
  <si>
    <t>Packing</t>
  </si>
  <si>
    <t>Office</t>
  </si>
  <si>
    <t>Loader</t>
  </si>
  <si>
    <t>Folding</t>
  </si>
  <si>
    <t>Owais</t>
  </si>
  <si>
    <t>Sohail Printing</t>
  </si>
  <si>
    <t xml:space="preserve">Irfan Bhai </t>
  </si>
  <si>
    <t xml:space="preserve">Salary Sheet of February </t>
  </si>
  <si>
    <t>Salary Sheet of February</t>
  </si>
  <si>
    <t>Bilal Folding</t>
  </si>
  <si>
    <t>Umar Farooq</t>
  </si>
  <si>
    <t>Rafay @2</t>
  </si>
  <si>
    <t>-</t>
  </si>
  <si>
    <t>0</t>
  </si>
  <si>
    <t>Incharge</t>
  </si>
  <si>
    <t>Bilal Incharge</t>
  </si>
  <si>
    <t>Najmi</t>
  </si>
  <si>
    <t>Sadiq</t>
  </si>
  <si>
    <t>All Rounder</t>
  </si>
  <si>
    <t>ADVANCE</t>
  </si>
  <si>
    <t>09:01:35</t>
  </si>
  <si>
    <t>17:34:19</t>
  </si>
  <si>
    <t>08:58:45</t>
  </si>
  <si>
    <t>17:26:18</t>
  </si>
  <si>
    <t>08:54:51</t>
  </si>
  <si>
    <t>10:38:10</t>
  </si>
  <si>
    <t>08:54:17</t>
  </si>
  <si>
    <t>18:00:21</t>
  </si>
  <si>
    <t>09:00:12</t>
  </si>
  <si>
    <t>17:41:31</t>
  </si>
  <si>
    <t>09:01:49</t>
  </si>
  <si>
    <t>18:02:27</t>
  </si>
  <si>
    <t>09:07:19</t>
  </si>
  <si>
    <t>17:29:19</t>
  </si>
  <si>
    <t>09:03:37</t>
  </si>
  <si>
    <t>17:32:31</t>
  </si>
  <si>
    <t>09:00:04</t>
  </si>
  <si>
    <t>17:32:03</t>
  </si>
  <si>
    <t>09:06:07</t>
  </si>
  <si>
    <t>17:34:05</t>
  </si>
  <si>
    <t>08:59:47</t>
  </si>
  <si>
    <t>18:10:04</t>
  </si>
  <si>
    <t>09:02:53</t>
  </si>
  <si>
    <t>17:35:26</t>
  </si>
  <si>
    <t>09:03:36</t>
  </si>
  <si>
    <t>09:44:37</t>
  </si>
  <si>
    <t>09:01:39</t>
  </si>
  <si>
    <t>17:28:51</t>
  </si>
  <si>
    <t>08:02:05</t>
  </si>
  <si>
    <t>15:06:17</t>
  </si>
  <si>
    <t>08:07:04</t>
  </si>
  <si>
    <t>10:08:05</t>
  </si>
  <si>
    <t>07:58:42</t>
  </si>
  <si>
    <t>15:00:25</t>
  </si>
  <si>
    <t>08:04:33</t>
  </si>
  <si>
    <t>15:11:57</t>
  </si>
  <si>
    <t>07:59:46</t>
  </si>
  <si>
    <t>15:03:39</t>
  </si>
  <si>
    <t>08:04:56</t>
  </si>
  <si>
    <t>15:09:08</t>
  </si>
  <si>
    <t>07:59:49</t>
  </si>
  <si>
    <t>15:02:33</t>
  </si>
  <si>
    <t>08:02:29</t>
  </si>
  <si>
    <t>15:03:17</t>
  </si>
  <si>
    <t>07:53:28</t>
  </si>
  <si>
    <t>15:11:14</t>
  </si>
  <si>
    <t>0.00</t>
  </si>
  <si>
    <t>Salary Sheet of Janurary</t>
  </si>
  <si>
    <t>Against @6 days salary</t>
  </si>
  <si>
    <t>Bonus</t>
  </si>
  <si>
    <t>Against 11 days salary</t>
  </si>
  <si>
    <t>0.5 months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</si>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</sst>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h:mm:ss;@"/>
    <numFmt numFmtId="165" formatCode="#\ &quot;Hrs&quot;"/>
    <numFmt numFmtId="166" formatCode="[$-F400]h:mm:ss\ AM/PM"/>
    <numFmt numFmtId="167" formatCode="[$-409]h:mm\ AM/PM;@"/>
    <numFmt numFmtId="168" formatCode="[$]hh:mm:ss;@" x16r2:formatCode16="[$-en-PK,1]hh:mm:ss;@"/>
  </numFmts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/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165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0" fillId="0" borderId="1" xfId="0" applyBorder="1"/>
    <xf numFmtId="0" fontId="0" fillId="0" borderId="1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/>
    <xf numFmtId="0" fontId="2" fillId="0" borderId="0" xfId="0" applyFont="1" applyFill="1" applyBorder="1" applyAlignment="1">
      <alignment vertical="top" wrapText="1"/>
    </xf>
    <xf numFmtId="1" fontId="0" fillId="0" borderId="0" xfId="0" applyNumberFormat="1" applyFill="1" applyBorder="1"/>
    <xf numFmtId="165" fontId="0" fillId="0" borderId="0" xfId="0" applyNumberFormat="1" applyFill="1" applyBorder="1"/>
    <xf numFmtId="0" fontId="0" fillId="0" borderId="0" xfId="0" applyBorder="1"/>
    <xf numFmtId="0" fontId="0" fillId="0" borderId="2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/>
    <xf numFmtId="0" fontId="0" fillId="0" borderId="1" xfId="0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0" fillId="0" borderId="0" xfId="0" applyNumberFormat="1"/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wrapText="1"/>
    </xf>
    <xf numFmtId="2" fontId="0" fillId="0" borderId="21" xfId="0" applyNumberFormat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2" fontId="0" fillId="0" borderId="0" xfId="0" applyNumberFormat="1" applyBorder="1" applyAlignment="1">
      <alignment horizontal="center" vertical="center"/>
    </xf>
    <xf numFmtId="14" fontId="0" fillId="0" borderId="0" xfId="0" applyNumberFormat="1"/>
    <xf numFmtId="167" fontId="7" fillId="0" borderId="24" xfId="0" applyNumberFormat="1" applyFont="1" applyBorder="1" applyAlignment="1">
      <alignment horizontal="center" wrapText="1"/>
    </xf>
    <xf numFmtId="167" fontId="7" fillId="0" borderId="25" xfId="0" applyNumberFormat="1" applyFont="1" applyBorder="1" applyAlignment="1">
      <alignment horizontal="center" wrapText="1"/>
    </xf>
    <xf numFmtId="167" fontId="7" fillId="0" borderId="26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/>
    </xf>
    <xf numFmtId="167" fontId="7" fillId="0" borderId="18" xfId="0" applyNumberFormat="1" applyFont="1" applyBorder="1" applyAlignment="1">
      <alignment horizont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/>
    <xf numFmtId="2" fontId="0" fillId="0" borderId="23" xfId="0" applyNumberFormat="1" applyBorder="1" applyAlignment="1">
      <alignment horizontal="center" vertical="center"/>
    </xf>
    <xf numFmtId="2" fontId="9" fillId="3" borderId="13" xfId="0" applyNumberFormat="1" applyFont="1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vertical="center"/>
    </xf>
    <xf numFmtId="2" fontId="8" fillId="0" borderId="0" xfId="0" applyNumberFormat="1" applyFont="1" applyBorder="1" applyAlignment="1"/>
    <xf numFmtId="1" fontId="8" fillId="0" borderId="0" xfId="0" applyNumberFormat="1" applyFont="1" applyBorder="1" applyAlignment="1"/>
    <xf numFmtId="20" fontId="0" fillId="0" borderId="0" xfId="0" applyNumberFormat="1"/>
    <xf numFmtId="168" fontId="0" fillId="0" borderId="0" xfId="0" applyNumberFormat="1"/>
    <xf numFmtId="0" fontId="0" fillId="0" borderId="16" xfId="0" applyFill="1" applyBorder="1"/>
    <xf numFmtId="49" fontId="0" fillId="0" borderId="15" xfId="0" applyNumberFormat="1" applyFont="1" applyFill="1" applyBorder="1" applyAlignment="1">
      <alignment vertical="center"/>
    </xf>
    <xf numFmtId="49" fontId="0" fillId="0" borderId="16" xfId="0" applyNumberFormat="1" applyFont="1" applyFill="1" applyBorder="1" applyAlignment="1">
      <alignment vertical="center"/>
    </xf>
    <xf numFmtId="49" fontId="10" fillId="0" borderId="0" xfId="0" applyNumberFormat="1" applyFont="1" applyBorder="1" applyAlignment="1">
      <alignment horizontal="center" wrapText="1"/>
    </xf>
    <xf numFmtId="49" fontId="7" fillId="0" borderId="0" xfId="0" applyNumberFormat="1" applyFont="1" applyBorder="1" applyAlignment="1">
      <alignment horizontal="center" wrapText="1"/>
    </xf>
    <xf numFmtId="167" fontId="0" fillId="0" borderId="1" xfId="0" applyNumberForma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wrapText="1"/>
    </xf>
    <xf numFmtId="2" fontId="0" fillId="0" borderId="14" xfId="0" applyNumberFormat="1" applyBorder="1" applyAlignment="1">
      <alignment horizontal="center" vertical="center"/>
    </xf>
    <xf numFmtId="0" fontId="0" fillId="0" borderId="21" xfId="0" applyFont="1" applyFill="1" applyBorder="1"/>
    <xf numFmtId="167" fontId="7" fillId="0" borderId="17" xfId="0" applyNumberFormat="1" applyFont="1" applyBorder="1" applyAlignment="1">
      <alignment horizontal="center" wrapText="1"/>
    </xf>
    <xf numFmtId="2" fontId="0" fillId="0" borderId="27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8" fillId="0" borderId="14" xfId="0" applyNumberFormat="1" applyFont="1" applyBorder="1" applyAlignment="1">
      <alignment horizontal="center"/>
    </xf>
    <xf numFmtId="2" fontId="8" fillId="0" borderId="16" xfId="0" applyNumberFormat="1" applyFont="1" applyBorder="1" applyAlignment="1">
      <alignment horizontal="center"/>
    </xf>
    <xf numFmtId="49" fontId="7" fillId="0" borderId="14" xfId="0" applyNumberFormat="1" applyFont="1" applyBorder="1" applyAlignment="1">
      <alignment horizontal="center" wrapText="1"/>
    </xf>
    <xf numFmtId="49" fontId="7" fillId="0" borderId="15" xfId="0" applyNumberFormat="1" applyFont="1" applyBorder="1" applyAlignment="1">
      <alignment horizontal="center" wrapText="1"/>
    </xf>
    <xf numFmtId="49" fontId="7" fillId="0" borderId="16" xfId="0" applyNumberFormat="1" applyFont="1" applyBorder="1" applyAlignment="1">
      <alignment horizontal="center" wrapText="1"/>
    </xf>
    <xf numFmtId="167" fontId="7" fillId="0" borderId="14" xfId="0" applyNumberFormat="1" applyFont="1" applyBorder="1" applyAlignment="1">
      <alignment horizontal="center" wrapText="1"/>
    </xf>
    <xf numFmtId="167" fontId="7" fillId="0" borderId="15" xfId="0" applyNumberFormat="1" applyFont="1" applyBorder="1" applyAlignment="1">
      <alignment horizontal="center" wrapText="1"/>
    </xf>
    <xf numFmtId="167" fontId="7" fillId="0" borderId="16" xfId="0" applyNumberFormat="1" applyFont="1" applyBorder="1" applyAlignment="1">
      <alignment horizontal="center" wrapText="1"/>
    </xf>
    <xf numFmtId="1" fontId="8" fillId="0" borderId="14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"/>
    </xf>
    <xf numFmtId="1" fontId="8" fillId="0" borderId="16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23" xfId="0" applyFont="1" applyFill="1" applyBorder="1"/>
    <xf numFmtId="167" fontId="7" fillId="0" borderId="29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41" workbookViewId="0">
      <selection activeCell="G17" sqref="G17:O63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C12" s="93"/>
      <c r="D12" s="93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C13" s="94"/>
      <c r="D13" s="94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21" x14ac:dyDescent="0.25">
      <c r="C14" s="94"/>
      <c r="D14" s="94"/>
      <c r="E14" s="1"/>
      <c r="F14" s="1"/>
      <c r="G14" s="9" t="s">
        <v>84</v>
      </c>
      <c r="H14" s="9" t="s">
        <v>80</v>
      </c>
      <c r="I14" s="9">
        <v>30000</v>
      </c>
      <c r="J14" s="9">
        <f>I14/30</f>
        <v>1000</v>
      </c>
      <c r="K14" s="9">
        <f>J14/8</f>
        <v>125</v>
      </c>
      <c r="L14" s="9">
        <v>0</v>
      </c>
      <c r="M14" s="9">
        <f>I14-(J14*L14)</f>
        <v>30000</v>
      </c>
      <c r="N14" s="46">
        <v>0</v>
      </c>
      <c r="O14" s="47">
        <v>0</v>
      </c>
      <c r="P14" s="59">
        <f>O50</f>
        <v>0</v>
      </c>
      <c r="Q14" s="51">
        <v>0</v>
      </c>
    </row>
    <row r="15" spans="3:17" x14ac:dyDescent="0.25">
      <c r="C15" s="94"/>
      <c r="D15" s="9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C16" s="94"/>
      <c r="D16" s="9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3:17" ht="27" customHeight="1" x14ac:dyDescent="0.25">
      <c r="C17" s="94"/>
      <c r="D17" s="94"/>
      <c r="E17" s="1"/>
      <c r="F17" s="1"/>
      <c r="G17" s="1" t="s">
        <v>63</v>
      </c>
      <c r="H17" s="122" t="s">
        <v>7</v>
      </c>
      <c r="I17" s="122"/>
      <c r="J17" s="122"/>
      <c r="K17" s="122"/>
      <c r="L17" s="122"/>
      <c r="M17" s="122"/>
      <c r="N17" s="1"/>
      <c r="O17" s="1"/>
      <c r="P17" s="1"/>
      <c r="Q17" s="1"/>
    </row>
    <row r="18" spans="3:17" x14ac:dyDescent="0.25">
      <c r="C18" s="94"/>
      <c r="D18" s="9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3:17" ht="22.5" customHeight="1" x14ac:dyDescent="0.25">
      <c r="C19" s="94"/>
      <c r="D19" s="94"/>
      <c r="E19" s="1"/>
      <c r="F19" s="1"/>
      <c r="G19" s="9" t="str">
        <f>G14</f>
        <v>Muddasir</v>
      </c>
      <c r="H19" s="123" t="str">
        <f>G14</f>
        <v>Muddasir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3:17" ht="18.75" x14ac:dyDescent="0.25">
      <c r="C20" s="94"/>
      <c r="D20" s="94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3:17" x14ac:dyDescent="0.25">
      <c r="C21" s="94"/>
      <c r="D21" s="94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3:17" x14ac:dyDescent="0.25">
      <c r="C22" s="94"/>
      <c r="D22" s="94"/>
      <c r="E22" s="1"/>
      <c r="F22" s="1"/>
      <c r="G22" s="38">
        <v>1</v>
      </c>
      <c r="H22" s="90" t="s">
        <v>44</v>
      </c>
      <c r="I22" s="67" t="s">
        <v>107</v>
      </c>
      <c r="J22" s="67" t="s">
        <v>107</v>
      </c>
      <c r="K22" s="91" t="s">
        <v>161</v>
      </c>
      <c r="L22" s="91" t="s">
        <v>161</v>
      </c>
      <c r="M22" s="91" t="s">
        <v>161</v>
      </c>
      <c r="N22" s="91" t="s">
        <v>161</v>
      </c>
      <c r="O22" s="92" t="s">
        <v>161</v>
      </c>
      <c r="P22" s="1"/>
      <c r="Q22" s="1"/>
    </row>
    <row r="23" spans="3:17" x14ac:dyDescent="0.25">
      <c r="C23" s="94"/>
      <c r="D23" s="94"/>
      <c r="E23" s="1"/>
      <c r="F23" s="1"/>
      <c r="G23" s="22">
        <v>2</v>
      </c>
      <c r="H23" s="30" t="s">
        <v>49</v>
      </c>
      <c r="I23" s="67" t="s">
        <v>115</v>
      </c>
      <c r="J23" s="67" t="s">
        <v>116</v>
      </c>
      <c r="K23" s="91" t="s">
        <v>161</v>
      </c>
      <c r="L23" s="91" t="s">
        <v>161</v>
      </c>
      <c r="M23" s="91" t="s">
        <v>161</v>
      </c>
      <c r="N23" s="91" t="s">
        <v>161</v>
      </c>
      <c r="O23" s="92" t="s">
        <v>161</v>
      </c>
      <c r="P23" s="1"/>
      <c r="Q23" s="1"/>
    </row>
    <row r="24" spans="3:17" x14ac:dyDescent="0.25">
      <c r="C24" s="94"/>
      <c r="D24" s="94"/>
      <c r="E24" s="1"/>
      <c r="F24" s="1"/>
      <c r="G24" s="38">
        <v>3</v>
      </c>
      <c r="H24" s="90" t="s">
        <v>50</v>
      </c>
      <c r="I24" s="67" t="s">
        <v>117</v>
      </c>
      <c r="J24" s="67" t="s">
        <v>118</v>
      </c>
      <c r="K24" s="91" t="s">
        <v>161</v>
      </c>
      <c r="L24" s="91" t="s">
        <v>161</v>
      </c>
      <c r="M24" s="91" t="s">
        <v>161</v>
      </c>
      <c r="N24" s="91" t="s">
        <v>161</v>
      </c>
      <c r="O24" s="92" t="s">
        <v>161</v>
      </c>
      <c r="P24" s="1"/>
      <c r="Q24" s="1"/>
    </row>
    <row r="25" spans="3:17" x14ac:dyDescent="0.25">
      <c r="C25" s="94"/>
      <c r="D25" s="94"/>
      <c r="E25" s="1"/>
      <c r="F25" s="1"/>
      <c r="G25" s="22">
        <v>4</v>
      </c>
      <c r="H25" s="30" t="s">
        <v>51</v>
      </c>
      <c r="I25" s="67" t="s">
        <v>119</v>
      </c>
      <c r="J25" s="67" t="s">
        <v>120</v>
      </c>
      <c r="K25" s="91" t="s">
        <v>161</v>
      </c>
      <c r="L25" s="91" t="s">
        <v>161</v>
      </c>
      <c r="M25" s="91" t="s">
        <v>161</v>
      </c>
      <c r="N25" s="91" t="s">
        <v>161</v>
      </c>
      <c r="O25" s="92" t="s">
        <v>161</v>
      </c>
      <c r="P25" s="1"/>
      <c r="Q25" s="1"/>
    </row>
    <row r="26" spans="3:17" x14ac:dyDescent="0.25">
      <c r="C26" s="94"/>
      <c r="D26" s="94"/>
      <c r="E26" s="1"/>
      <c r="F26" s="1"/>
      <c r="G26" s="38">
        <v>5</v>
      </c>
      <c r="H26" s="90" t="s">
        <v>46</v>
      </c>
      <c r="I26" s="67" t="s">
        <v>107</v>
      </c>
      <c r="J26" s="67" t="s">
        <v>107</v>
      </c>
      <c r="K26" s="91" t="s">
        <v>161</v>
      </c>
      <c r="L26" s="91" t="s">
        <v>161</v>
      </c>
      <c r="M26" s="91" t="s">
        <v>161</v>
      </c>
      <c r="N26" s="91" t="s">
        <v>161</v>
      </c>
      <c r="O26" s="92" t="s">
        <v>161</v>
      </c>
      <c r="P26" s="1"/>
      <c r="Q26" s="1"/>
    </row>
    <row r="27" spans="3:17" x14ac:dyDescent="0.25">
      <c r="C27" s="94"/>
      <c r="D27" s="94"/>
      <c r="E27" s="1"/>
      <c r="F27" s="1"/>
      <c r="G27" s="22">
        <v>6</v>
      </c>
      <c r="H27" s="30" t="s">
        <v>47</v>
      </c>
      <c r="I27" s="67" t="s">
        <v>121</v>
      </c>
      <c r="J27" s="67" t="s">
        <v>122</v>
      </c>
      <c r="K27" s="91" t="s">
        <v>161</v>
      </c>
      <c r="L27" s="91" t="s">
        <v>161</v>
      </c>
      <c r="M27" s="91" t="s">
        <v>161</v>
      </c>
      <c r="N27" s="91" t="s">
        <v>161</v>
      </c>
      <c r="O27" s="92" t="s">
        <v>161</v>
      </c>
      <c r="P27" s="1"/>
      <c r="Q27" s="1"/>
    </row>
    <row r="28" spans="3:17" x14ac:dyDescent="0.25">
      <c r="C28" s="94"/>
      <c r="D28" s="94"/>
      <c r="E28" s="1"/>
      <c r="F28" s="1" t="s">
        <v>63</v>
      </c>
      <c r="G28" s="38">
        <v>7</v>
      </c>
      <c r="H28" s="90" t="s">
        <v>48</v>
      </c>
      <c r="I28" s="67" t="s">
        <v>123</v>
      </c>
      <c r="J28" s="67" t="s">
        <v>124</v>
      </c>
      <c r="K28" s="91" t="s">
        <v>161</v>
      </c>
      <c r="L28" s="91" t="s">
        <v>161</v>
      </c>
      <c r="M28" s="91" t="s">
        <v>161</v>
      </c>
      <c r="N28" s="91" t="s">
        <v>161</v>
      </c>
      <c r="O28" s="92" t="s">
        <v>161</v>
      </c>
      <c r="P28" s="1"/>
      <c r="Q28" s="1"/>
    </row>
    <row r="29" spans="3:17" x14ac:dyDescent="0.25">
      <c r="C29" s="94"/>
      <c r="D29" s="94"/>
      <c r="E29" s="1"/>
      <c r="F29" s="1"/>
      <c r="G29" s="22">
        <v>8</v>
      </c>
      <c r="H29" s="30" t="s">
        <v>44</v>
      </c>
      <c r="I29" s="67" t="s">
        <v>107</v>
      </c>
      <c r="J29" s="67" t="s">
        <v>107</v>
      </c>
      <c r="K29" s="91" t="s">
        <v>161</v>
      </c>
      <c r="L29" s="91" t="s">
        <v>161</v>
      </c>
      <c r="M29" s="91" t="s">
        <v>161</v>
      </c>
      <c r="N29" s="91" t="s">
        <v>161</v>
      </c>
      <c r="O29" s="92" t="s">
        <v>161</v>
      </c>
      <c r="P29" s="1"/>
      <c r="Q29" s="1"/>
    </row>
    <row r="30" spans="3:17" x14ac:dyDescent="0.25">
      <c r="C30" s="94"/>
      <c r="D30" s="94"/>
      <c r="E30" s="1"/>
      <c r="F30" s="1"/>
      <c r="G30" s="38">
        <v>9</v>
      </c>
      <c r="H30" s="90" t="s">
        <v>49</v>
      </c>
      <c r="I30" s="67" t="s">
        <v>125</v>
      </c>
      <c r="J30" s="67" t="s">
        <v>126</v>
      </c>
      <c r="K30" s="91" t="s">
        <v>161</v>
      </c>
      <c r="L30" s="91" t="s">
        <v>161</v>
      </c>
      <c r="M30" s="91" t="s">
        <v>161</v>
      </c>
      <c r="N30" s="91" t="s">
        <v>161</v>
      </c>
      <c r="O30" s="92" t="s">
        <v>161</v>
      </c>
      <c r="P30" s="1"/>
      <c r="Q30" s="1"/>
    </row>
    <row r="31" spans="3:17" x14ac:dyDescent="0.25">
      <c r="C31" s="94"/>
      <c r="D31" s="94"/>
      <c r="E31" s="1"/>
      <c r="F31" s="1"/>
      <c r="G31" s="22">
        <v>10</v>
      </c>
      <c r="H31" s="30" t="s">
        <v>50</v>
      </c>
      <c r="I31" s="67" t="s">
        <v>127</v>
      </c>
      <c r="J31" s="67" t="s">
        <v>128</v>
      </c>
      <c r="K31" s="91" t="s">
        <v>161</v>
      </c>
      <c r="L31" s="91" t="s">
        <v>161</v>
      </c>
      <c r="M31" s="91" t="s">
        <v>161</v>
      </c>
      <c r="N31" s="91" t="s">
        <v>161</v>
      </c>
      <c r="O31" s="92" t="s">
        <v>161</v>
      </c>
      <c r="P31" s="1"/>
      <c r="Q31" s="1"/>
    </row>
    <row r="32" spans="3:17" x14ac:dyDescent="0.25">
      <c r="C32" s="94"/>
      <c r="D32" s="94"/>
      <c r="E32" s="1"/>
      <c r="F32" s="1"/>
      <c r="G32" s="38">
        <v>11</v>
      </c>
      <c r="H32" s="90" t="s">
        <v>51</v>
      </c>
      <c r="I32" s="67" t="s">
        <v>129</v>
      </c>
      <c r="J32" s="67" t="s">
        <v>130</v>
      </c>
      <c r="K32" s="91" t="s">
        <v>161</v>
      </c>
      <c r="L32" s="91" t="s">
        <v>161</v>
      </c>
      <c r="M32" s="91" t="s">
        <v>161</v>
      </c>
      <c r="N32" s="91" t="s">
        <v>161</v>
      </c>
      <c r="O32" s="92" t="s">
        <v>161</v>
      </c>
      <c r="P32" s="1"/>
      <c r="Q32" s="1"/>
    </row>
    <row r="33" spans="3:17" x14ac:dyDescent="0.25">
      <c r="C33" s="94"/>
      <c r="D33" s="94"/>
      <c r="E33" s="1"/>
      <c r="F33" s="1"/>
      <c r="G33" s="22">
        <v>12</v>
      </c>
      <c r="H33" s="30" t="s">
        <v>46</v>
      </c>
      <c r="I33" s="67" t="s">
        <v>131</v>
      </c>
      <c r="J33" s="67" t="s">
        <v>132</v>
      </c>
      <c r="K33" s="91" t="s">
        <v>161</v>
      </c>
      <c r="L33" s="91" t="s">
        <v>161</v>
      </c>
      <c r="M33" s="91" t="s">
        <v>161</v>
      </c>
      <c r="N33" s="91" t="s">
        <v>161</v>
      </c>
      <c r="O33" s="92" t="s">
        <v>161</v>
      </c>
      <c r="P33" s="1"/>
      <c r="Q33" s="1"/>
    </row>
    <row r="34" spans="3:17" x14ac:dyDescent="0.25">
      <c r="C34" s="94"/>
      <c r="D34" s="94"/>
      <c r="E34" s="1"/>
      <c r="F34" s="1"/>
      <c r="G34" s="38">
        <v>13</v>
      </c>
      <c r="H34" s="90" t="s">
        <v>47</v>
      </c>
      <c r="I34" s="67" t="s">
        <v>133</v>
      </c>
      <c r="J34" s="67" t="s">
        <v>134</v>
      </c>
      <c r="K34" s="91" t="s">
        <v>161</v>
      </c>
      <c r="L34" s="91" t="s">
        <v>161</v>
      </c>
      <c r="M34" s="91" t="s">
        <v>161</v>
      </c>
      <c r="N34" s="91" t="s">
        <v>161</v>
      </c>
      <c r="O34" s="92" t="s">
        <v>161</v>
      </c>
      <c r="P34" s="1"/>
      <c r="Q34" s="1"/>
    </row>
    <row r="35" spans="3:17" x14ac:dyDescent="0.25">
      <c r="C35" s="94"/>
      <c r="D35" s="94"/>
      <c r="E35" s="1"/>
      <c r="F35" s="1"/>
      <c r="G35" s="22">
        <v>14</v>
      </c>
      <c r="H35" s="30" t="s">
        <v>48</v>
      </c>
      <c r="I35" s="67" t="s">
        <v>135</v>
      </c>
      <c r="J35" s="67" t="s">
        <v>136</v>
      </c>
      <c r="K35" s="91" t="s">
        <v>161</v>
      </c>
      <c r="L35" s="91" t="s">
        <v>161</v>
      </c>
      <c r="M35" s="91" t="s">
        <v>161</v>
      </c>
      <c r="N35" s="91" t="s">
        <v>161</v>
      </c>
      <c r="O35" s="92" t="s">
        <v>161</v>
      </c>
      <c r="P35" s="1"/>
      <c r="Q35" s="1"/>
    </row>
    <row r="36" spans="3:17" x14ac:dyDescent="0.25">
      <c r="C36" s="94"/>
      <c r="D36" s="94"/>
      <c r="E36" s="1"/>
      <c r="F36" s="1"/>
      <c r="G36" s="38">
        <v>15</v>
      </c>
      <c r="H36" s="90" t="s">
        <v>44</v>
      </c>
      <c r="I36" s="67" t="s">
        <v>107</v>
      </c>
      <c r="J36" s="67" t="s">
        <v>107</v>
      </c>
      <c r="K36" s="91" t="s">
        <v>161</v>
      </c>
      <c r="L36" s="91" t="s">
        <v>161</v>
      </c>
      <c r="M36" s="91" t="s">
        <v>161</v>
      </c>
      <c r="N36" s="91" t="s">
        <v>161</v>
      </c>
      <c r="O36" s="92" t="s">
        <v>161</v>
      </c>
      <c r="P36" s="1"/>
      <c r="Q36" s="1"/>
    </row>
    <row r="37" spans="3:17" x14ac:dyDescent="0.25">
      <c r="C37" s="94"/>
      <c r="D37" s="94"/>
      <c r="E37" s="1"/>
      <c r="F37" s="1"/>
      <c r="G37" s="22">
        <v>16</v>
      </c>
      <c r="H37" s="30" t="s">
        <v>49</v>
      </c>
      <c r="I37" s="67" t="s">
        <v>137</v>
      </c>
      <c r="J37" s="67" t="s">
        <v>138</v>
      </c>
      <c r="K37" s="91" t="s">
        <v>161</v>
      </c>
      <c r="L37" s="91" t="s">
        <v>161</v>
      </c>
      <c r="M37" s="91" t="s">
        <v>161</v>
      </c>
      <c r="N37" s="91" t="s">
        <v>161</v>
      </c>
      <c r="O37" s="92" t="s">
        <v>161</v>
      </c>
      <c r="P37" s="1"/>
      <c r="Q37" s="1"/>
    </row>
    <row r="38" spans="3:17" x14ac:dyDescent="0.25">
      <c r="C38" s="94"/>
      <c r="D38" s="94"/>
      <c r="E38" s="1"/>
      <c r="F38" s="1"/>
      <c r="G38" s="38">
        <v>17</v>
      </c>
      <c r="H38" s="90" t="s">
        <v>50</v>
      </c>
      <c r="I38" s="67" t="s">
        <v>139</v>
      </c>
      <c r="J38" s="67" t="s">
        <v>140</v>
      </c>
      <c r="K38" s="91" t="s">
        <v>161</v>
      </c>
      <c r="L38" s="91" t="s">
        <v>161</v>
      </c>
      <c r="M38" s="91" t="s">
        <v>161</v>
      </c>
      <c r="N38" s="91" t="s">
        <v>161</v>
      </c>
      <c r="O38" s="92" t="s">
        <v>161</v>
      </c>
      <c r="P38" s="1"/>
      <c r="Q38" s="1"/>
    </row>
    <row r="39" spans="3:17" x14ac:dyDescent="0.25">
      <c r="C39" s="94"/>
      <c r="D39" s="94"/>
      <c r="E39" s="1"/>
      <c r="F39" s="1"/>
      <c r="G39" s="22">
        <v>18</v>
      </c>
      <c r="H39" s="30" t="s">
        <v>51</v>
      </c>
      <c r="I39" s="67" t="s">
        <v>141</v>
      </c>
      <c r="J39" s="67" t="s">
        <v>142</v>
      </c>
      <c r="K39" s="91" t="s">
        <v>161</v>
      </c>
      <c r="L39" s="91" t="s">
        <v>161</v>
      </c>
      <c r="M39" s="91" t="s">
        <v>161</v>
      </c>
      <c r="N39" s="91" t="s">
        <v>161</v>
      </c>
      <c r="O39" s="92" t="s">
        <v>161</v>
      </c>
      <c r="P39" s="1"/>
      <c r="Q39" s="1"/>
    </row>
    <row r="40" spans="3:17" x14ac:dyDescent="0.25">
      <c r="C40" s="94"/>
      <c r="D40" s="94"/>
      <c r="E40" s="1"/>
      <c r="F40" s="1"/>
      <c r="G40" s="38">
        <v>19</v>
      </c>
      <c r="H40" s="90" t="s">
        <v>46</v>
      </c>
      <c r="I40" s="67" t="s">
        <v>143</v>
      </c>
      <c r="J40" s="67" t="s">
        <v>144</v>
      </c>
      <c r="K40" s="91" t="s">
        <v>161</v>
      </c>
      <c r="L40" s="91" t="s">
        <v>161</v>
      </c>
      <c r="M40" s="91" t="s">
        <v>161</v>
      </c>
      <c r="N40" s="91" t="s">
        <v>161</v>
      </c>
      <c r="O40" s="92" t="s">
        <v>161</v>
      </c>
      <c r="P40" s="1"/>
      <c r="Q40" s="1"/>
    </row>
    <row r="41" spans="3:17" x14ac:dyDescent="0.25">
      <c r="C41" s="35"/>
      <c r="D41" s="53"/>
      <c r="E41" s="1"/>
      <c r="F41" s="1"/>
      <c r="G41" s="22">
        <v>20</v>
      </c>
      <c r="H41" s="30" t="s">
        <v>47</v>
      </c>
      <c r="I41" s="67" t="s">
        <v>145</v>
      </c>
      <c r="J41" s="67" t="s">
        <v>146</v>
      </c>
      <c r="K41" s="91" t="s">
        <v>161</v>
      </c>
      <c r="L41" s="91" t="s">
        <v>161</v>
      </c>
      <c r="M41" s="91" t="s">
        <v>161</v>
      </c>
      <c r="N41" s="91" t="s">
        <v>161</v>
      </c>
      <c r="O41" s="92" t="s">
        <v>161</v>
      </c>
      <c r="P41" s="1"/>
      <c r="Q41" s="1"/>
    </row>
    <row r="42" spans="3:17" x14ac:dyDescent="0.25">
      <c r="D42" s="1"/>
      <c r="E42" s="1"/>
      <c r="F42" s="1"/>
      <c r="G42" s="38">
        <v>21</v>
      </c>
      <c r="H42" s="90" t="s">
        <v>48</v>
      </c>
      <c r="I42" s="67" t="s">
        <v>147</v>
      </c>
      <c r="J42" s="67" t="s">
        <v>148</v>
      </c>
      <c r="K42" s="91" t="s">
        <v>161</v>
      </c>
      <c r="L42" s="91" t="s">
        <v>161</v>
      </c>
      <c r="M42" s="91" t="s">
        <v>161</v>
      </c>
      <c r="N42" s="91" t="s">
        <v>161</v>
      </c>
      <c r="O42" s="92" t="s">
        <v>161</v>
      </c>
      <c r="P42" s="1"/>
      <c r="Q42" s="1"/>
    </row>
    <row r="43" spans="3:17" x14ac:dyDescent="0.25">
      <c r="D43" s="1"/>
      <c r="E43" s="1"/>
      <c r="F43" s="1"/>
      <c r="G43" s="22">
        <v>22</v>
      </c>
      <c r="H43" s="30" t="s">
        <v>44</v>
      </c>
      <c r="I43" s="67" t="s">
        <v>107</v>
      </c>
      <c r="J43" s="67" t="s">
        <v>107</v>
      </c>
      <c r="K43" s="91" t="s">
        <v>161</v>
      </c>
      <c r="L43" s="91" t="s">
        <v>161</v>
      </c>
      <c r="M43" s="91" t="s">
        <v>161</v>
      </c>
      <c r="N43" s="91" t="s">
        <v>161</v>
      </c>
      <c r="O43" s="92" t="s">
        <v>161</v>
      </c>
      <c r="P43" s="1"/>
      <c r="Q43" s="1"/>
    </row>
    <row r="44" spans="3:17" x14ac:dyDescent="0.25">
      <c r="D44" s="1"/>
      <c r="E44" s="1"/>
      <c r="F44" s="1"/>
      <c r="G44" s="38">
        <v>23</v>
      </c>
      <c r="H44" s="90" t="s">
        <v>49</v>
      </c>
      <c r="I44" s="67" t="s">
        <v>149</v>
      </c>
      <c r="J44" s="67" t="s">
        <v>150</v>
      </c>
      <c r="K44" s="91" t="s">
        <v>161</v>
      </c>
      <c r="L44" s="91" t="s">
        <v>161</v>
      </c>
      <c r="M44" s="91" t="s">
        <v>161</v>
      </c>
      <c r="N44" s="91" t="s">
        <v>161</v>
      </c>
      <c r="O44" s="92" t="s">
        <v>161</v>
      </c>
      <c r="P44" s="1"/>
      <c r="Q44" s="1"/>
    </row>
    <row r="45" spans="3:17" x14ac:dyDescent="0.25">
      <c r="D45" s="1"/>
      <c r="E45" s="1"/>
      <c r="F45" s="1" t="s">
        <v>63</v>
      </c>
      <c r="G45" s="22">
        <v>24</v>
      </c>
      <c r="H45" s="30" t="s">
        <v>50</v>
      </c>
      <c r="I45" s="67" t="s">
        <v>151</v>
      </c>
      <c r="J45" s="67" t="s">
        <v>152</v>
      </c>
      <c r="K45" s="91" t="s">
        <v>161</v>
      </c>
      <c r="L45" s="91" t="s">
        <v>161</v>
      </c>
      <c r="M45" s="91" t="s">
        <v>161</v>
      </c>
      <c r="N45" s="91" t="s">
        <v>161</v>
      </c>
      <c r="O45" s="92" t="s">
        <v>161</v>
      </c>
      <c r="P45" s="1"/>
      <c r="Q45" s="1"/>
    </row>
    <row r="46" spans="3:17" x14ac:dyDescent="0.25">
      <c r="D46" s="1"/>
      <c r="E46" s="1"/>
      <c r="F46" s="1"/>
      <c r="G46" s="38">
        <v>25</v>
      </c>
      <c r="H46" s="90" t="s">
        <v>51</v>
      </c>
      <c r="I46" s="67" t="s">
        <v>153</v>
      </c>
      <c r="J46" s="67" t="s">
        <v>154</v>
      </c>
      <c r="K46" s="91" t="s">
        <v>161</v>
      </c>
      <c r="L46" s="91" t="s">
        <v>161</v>
      </c>
      <c r="M46" s="91" t="s">
        <v>161</v>
      </c>
      <c r="N46" s="91" t="s">
        <v>161</v>
      </c>
      <c r="O46" s="92" t="s">
        <v>161</v>
      </c>
      <c r="P46" s="1"/>
      <c r="Q46" s="1"/>
    </row>
    <row r="47" spans="3:17" x14ac:dyDescent="0.25">
      <c r="D47" s="1"/>
      <c r="E47" s="1"/>
      <c r="F47" s="1"/>
      <c r="G47" s="22">
        <v>26</v>
      </c>
      <c r="H47" s="30" t="s">
        <v>46</v>
      </c>
      <c r="I47" s="67" t="s">
        <v>155</v>
      </c>
      <c r="J47" s="67" t="s">
        <v>156</v>
      </c>
      <c r="K47" s="91" t="s">
        <v>161</v>
      </c>
      <c r="L47" s="91" t="s">
        <v>161</v>
      </c>
      <c r="M47" s="91" t="s">
        <v>161</v>
      </c>
      <c r="N47" s="91" t="s">
        <v>161</v>
      </c>
      <c r="O47" s="92" t="s">
        <v>161</v>
      </c>
      <c r="P47" s="1"/>
      <c r="Q47" s="1"/>
    </row>
    <row r="48" spans="3:17" x14ac:dyDescent="0.25">
      <c r="D48" s="1"/>
      <c r="E48" s="1"/>
      <c r="F48" s="1"/>
      <c r="G48" s="38">
        <v>27</v>
      </c>
      <c r="H48" s="90" t="s">
        <v>47</v>
      </c>
      <c r="I48" s="67" t="s">
        <v>157</v>
      </c>
      <c r="J48" s="67" t="s">
        <v>158</v>
      </c>
      <c r="K48" s="91" t="s">
        <v>161</v>
      </c>
      <c r="L48" s="91" t="s">
        <v>161</v>
      </c>
      <c r="M48" s="91" t="s">
        <v>161</v>
      </c>
      <c r="N48" s="91" t="s">
        <v>161</v>
      </c>
      <c r="O48" s="92" t="s">
        <v>161</v>
      </c>
      <c r="P48" s="1"/>
      <c r="Q48" s="1"/>
    </row>
    <row r="49" spans="4:17" x14ac:dyDescent="0.25">
      <c r="D49" s="1"/>
      <c r="E49" s="1"/>
      <c r="F49" s="1"/>
      <c r="G49" s="22">
        <v>28</v>
      </c>
      <c r="H49" s="30" t="s">
        <v>48</v>
      </c>
      <c r="I49" s="67" t="s">
        <v>159</v>
      </c>
      <c r="J49" s="67" t="s">
        <v>160</v>
      </c>
      <c r="K49" s="91" t="s">
        <v>161</v>
      </c>
      <c r="L49" s="91" t="s">
        <v>161</v>
      </c>
      <c r="M49" s="91" t="s">
        <v>161</v>
      </c>
      <c r="N49" s="91" t="s">
        <v>161</v>
      </c>
      <c r="O49" s="92" t="s">
        <v>161</v>
      </c>
      <c r="P49" s="1"/>
      <c r="Q49" s="1"/>
    </row>
    <row r="50" spans="4:17" ht="24.75" customHeight="1" x14ac:dyDescent="0.25">
      <c r="D50" s="1"/>
      <c r="E50" s="1"/>
      <c r="F50" s="1"/>
      <c r="G50" s="2"/>
      <c r="H50" s="126" t="s">
        <v>6</v>
      </c>
      <c r="I50" s="126"/>
      <c r="J50" s="126"/>
      <c r="K50" s="17">
        <v>0</v>
      </c>
      <c r="L50" s="37">
        <v>0</v>
      </c>
      <c r="M50" s="57" t="s">
        <v>108</v>
      </c>
      <c r="N50" s="2">
        <v>0</v>
      </c>
      <c r="O50" s="28">
        <v>0</v>
      </c>
      <c r="P50" s="1"/>
      <c r="Q50" s="1"/>
    </row>
    <row r="52" spans="4:17" ht="21" x14ac:dyDescent="0.35">
      <c r="H52" s="39" t="s">
        <v>0</v>
      </c>
      <c r="I52" s="107" t="str">
        <f>H19</f>
        <v>Muddasir</v>
      </c>
      <c r="J52" s="107"/>
      <c r="K52" s="107"/>
      <c r="L52" s="107"/>
      <c r="M52" s="107"/>
    </row>
    <row r="53" spans="4:17" ht="21" x14ac:dyDescent="0.35">
      <c r="H53" s="39" t="s">
        <v>74</v>
      </c>
      <c r="I53" s="120">
        <f>I14</f>
        <v>30000</v>
      </c>
      <c r="J53" s="120"/>
      <c r="K53" s="120"/>
      <c r="L53" s="120"/>
      <c r="M53" s="120"/>
    </row>
    <row r="54" spans="4:17" ht="21" x14ac:dyDescent="0.35">
      <c r="H54" s="39" t="s">
        <v>54</v>
      </c>
      <c r="I54" s="121">
        <f>L50</f>
        <v>0</v>
      </c>
      <c r="J54" s="121"/>
      <c r="K54" s="106">
        <f>O14</f>
        <v>0</v>
      </c>
      <c r="L54" s="106"/>
      <c r="M54" s="106"/>
    </row>
    <row r="55" spans="4:17" ht="21" x14ac:dyDescent="0.35">
      <c r="H55" s="39" t="s">
        <v>32</v>
      </c>
      <c r="I55" s="107" t="str">
        <f>M50</f>
        <v>0</v>
      </c>
      <c r="J55" s="107"/>
      <c r="K55" s="107"/>
      <c r="L55" s="107"/>
      <c r="M55" s="107"/>
    </row>
    <row r="56" spans="4:17" ht="21" x14ac:dyDescent="0.35">
      <c r="H56" s="39" t="s">
        <v>5</v>
      </c>
      <c r="I56" s="107">
        <f>N50</f>
        <v>0</v>
      </c>
      <c r="J56" s="107"/>
      <c r="K56" s="107"/>
      <c r="L56" s="107"/>
      <c r="M56" s="107"/>
    </row>
    <row r="57" spans="4:17" ht="21" x14ac:dyDescent="0.35">
      <c r="H57" s="39" t="s">
        <v>3</v>
      </c>
      <c r="I57" s="107">
        <v>1500</v>
      </c>
      <c r="J57" s="107"/>
      <c r="K57" s="107"/>
      <c r="L57" s="107"/>
      <c r="M57" s="107"/>
    </row>
    <row r="58" spans="4:17" ht="21" x14ac:dyDescent="0.35">
      <c r="H58" s="39" t="s">
        <v>77</v>
      </c>
      <c r="I58" s="106">
        <f>I53+K54+I55+I56+I57</f>
        <v>31500</v>
      </c>
      <c r="J58" s="107"/>
      <c r="K58" s="107"/>
      <c r="L58" s="107"/>
      <c r="M58" s="107"/>
    </row>
    <row r="59" spans="4:17" ht="21" x14ac:dyDescent="0.35">
      <c r="H59" s="39" t="s">
        <v>43</v>
      </c>
      <c r="I59" s="117">
        <f>O50</f>
        <v>0</v>
      </c>
      <c r="J59" s="118"/>
      <c r="K59" s="117">
        <f>Q14</f>
        <v>0</v>
      </c>
      <c r="L59" s="119"/>
      <c r="M59" s="118"/>
    </row>
    <row r="60" spans="4:17" ht="21" x14ac:dyDescent="0.35">
      <c r="H60" s="39" t="s">
        <v>75</v>
      </c>
      <c r="I60" s="117">
        <f>L14</f>
        <v>0</v>
      </c>
      <c r="J60" s="118"/>
      <c r="K60" s="117">
        <f>L14*J14</f>
        <v>0</v>
      </c>
      <c r="L60" s="119"/>
      <c r="M60" s="118"/>
    </row>
    <row r="61" spans="4:17" ht="21" x14ac:dyDescent="0.35">
      <c r="H61" s="39" t="s">
        <v>4</v>
      </c>
      <c r="I61" s="48"/>
      <c r="J61" s="48"/>
      <c r="K61" s="48"/>
      <c r="L61" s="48"/>
      <c r="M61" s="39"/>
    </row>
    <row r="62" spans="4:17" ht="21" x14ac:dyDescent="0.35">
      <c r="H62" s="40" t="s">
        <v>76</v>
      </c>
      <c r="I62" s="39"/>
      <c r="J62" s="39"/>
      <c r="K62" s="39"/>
      <c r="L62" s="39"/>
      <c r="M62" s="39"/>
    </row>
    <row r="63" spans="4:17" ht="21" x14ac:dyDescent="0.35">
      <c r="H63" s="40" t="s">
        <v>81</v>
      </c>
      <c r="I63" s="106">
        <f>M14+K54+I55+I56+I57-K59-I61-J61-K61-L61-M61-I62-J62-K62-L62-M62</f>
        <v>31500</v>
      </c>
      <c r="J63" s="107"/>
      <c r="K63" s="107"/>
      <c r="L63" s="107"/>
      <c r="M63" s="107"/>
    </row>
    <row r="76" spans="36:49" ht="15.75" thickBot="1" x14ac:dyDescent="0.3"/>
    <row r="77" spans="36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36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36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36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18">
    <mergeCell ref="I53:M53"/>
    <mergeCell ref="I54:J54"/>
    <mergeCell ref="K54:M54"/>
    <mergeCell ref="G9:O10"/>
    <mergeCell ref="H17:M17"/>
    <mergeCell ref="H19:O19"/>
    <mergeCell ref="H50:J50"/>
    <mergeCell ref="I52:M52"/>
    <mergeCell ref="I63:M63"/>
    <mergeCell ref="AJ77:AW79"/>
    <mergeCell ref="I55:M55"/>
    <mergeCell ref="I56:M56"/>
    <mergeCell ref="I57:M57"/>
    <mergeCell ref="I58:M58"/>
    <mergeCell ref="I59:J59"/>
    <mergeCell ref="K59:M59"/>
    <mergeCell ref="I60:J60"/>
    <mergeCell ref="K60:M60"/>
  </mergeCells>
  <pageMargins left="0" right="0" top="0.78740157480314965" bottom="0" header="0" footer="0"/>
  <pageSetup paperSize="9" scale="1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BC100"/>
  <sheetViews>
    <sheetView topLeftCell="A2" zoomScale="98" zoomScaleNormal="98" zoomScaleSheetLayoutView="50" workbookViewId="0">
      <selection activeCell="L15" sqref="L15"/>
    </sheetView>
  </sheetViews>
  <sheetFormatPr defaultRowHeight="15" x14ac:dyDescent="0.25"/>
  <cols>
    <col min="2" max="2" width="10.7109375" customWidth="1"/>
    <col min="5" max="5" width="15.5703125" customWidth="1"/>
    <col min="6" max="6" width="15.28515625" bestFit="1" customWidth="1"/>
    <col min="7" max="7" width="14.85546875" bestFit="1" customWidth="1"/>
    <col min="8" max="8" width="19.28515625" bestFit="1" customWidth="1"/>
    <col min="9" max="9" width="16.85546875" customWidth="1"/>
    <col min="10" max="10" width="17.85546875" customWidth="1"/>
    <col min="11" max="11" width="11.42578125" customWidth="1"/>
    <col min="12" max="12" width="11.140625" customWidth="1"/>
    <col min="13" max="13" width="17" bestFit="1" customWidth="1"/>
    <col min="14" max="14" width="15.28515625" bestFit="1" customWidth="1"/>
    <col min="15" max="15" width="13" bestFit="1" customWidth="1"/>
    <col min="17" max="17" width="10.140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21" x14ac:dyDescent="0.25">
      <c r="K1">
        <v>1.5</v>
      </c>
    </row>
    <row r="5" spans="3:21" ht="15" customHeight="1" x14ac:dyDescent="0.25">
      <c r="C5" s="35"/>
      <c r="D5" s="45"/>
      <c r="E5" s="45"/>
      <c r="F5" s="45"/>
      <c r="P5" s="45"/>
      <c r="Q5" s="45"/>
    </row>
    <row r="6" spans="3:21" ht="15" customHeight="1" x14ac:dyDescent="0.25">
      <c r="C6" s="35"/>
      <c r="D6" s="45"/>
      <c r="E6" s="45"/>
      <c r="F6" s="45"/>
      <c r="P6" s="45"/>
      <c r="Q6" s="45"/>
    </row>
    <row r="7" spans="3:21" x14ac:dyDescent="0.25">
      <c r="D7" s="1"/>
      <c r="E7" s="1"/>
      <c r="F7" s="1"/>
      <c r="P7" s="1"/>
      <c r="Q7" s="1"/>
    </row>
    <row r="8" spans="3:21" x14ac:dyDescent="0.25">
      <c r="D8" s="1"/>
      <c r="E8" s="1"/>
      <c r="P8" s="1"/>
      <c r="Q8" s="1"/>
    </row>
    <row r="9" spans="3:21" ht="17.2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50"/>
      <c r="S9" s="50"/>
      <c r="T9" s="42"/>
      <c r="U9" s="31"/>
    </row>
    <row r="10" spans="3:21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3:21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21" ht="4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21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21" ht="18.75" x14ac:dyDescent="0.25">
      <c r="D14" s="1"/>
      <c r="E14" s="1"/>
      <c r="F14" s="1"/>
      <c r="G14" s="9" t="s">
        <v>33</v>
      </c>
      <c r="H14" s="9" t="s">
        <v>80</v>
      </c>
      <c r="I14" s="9">
        <v>55000</v>
      </c>
      <c r="J14" s="9">
        <f>I14/30</f>
        <v>1833.3333333333333</v>
      </c>
      <c r="K14" s="9">
        <f>J14/8</f>
        <v>229.16666666666666</v>
      </c>
      <c r="L14" s="9">
        <v>0</v>
      </c>
      <c r="M14" s="9">
        <f>I14-(J14*L14)</f>
        <v>55000</v>
      </c>
      <c r="N14" s="46">
        <f>L53</f>
        <v>0</v>
      </c>
      <c r="O14" s="47">
        <v>0</v>
      </c>
      <c r="P14" s="46">
        <f>O53</f>
        <v>0</v>
      </c>
      <c r="Q14" s="9">
        <v>0</v>
      </c>
    </row>
    <row r="15" spans="3:21" ht="18.75" x14ac:dyDescent="0.25">
      <c r="D15" s="1"/>
      <c r="E15" s="1"/>
      <c r="F15" s="1"/>
      <c r="G15" s="64"/>
      <c r="H15" s="64"/>
      <c r="I15" s="64"/>
      <c r="J15" s="64"/>
      <c r="K15" s="64"/>
      <c r="L15" s="64"/>
      <c r="M15" s="64"/>
      <c r="N15" s="65"/>
      <c r="O15" s="66"/>
      <c r="P15" s="53"/>
      <c r="Q15" s="53"/>
    </row>
    <row r="16" spans="3:21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8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8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8" ht="22.5" customHeight="1" x14ac:dyDescent="0.25">
      <c r="D19" s="1"/>
      <c r="E19" s="1"/>
      <c r="F19" s="1"/>
      <c r="G19" s="9" t="str">
        <f>G12</f>
        <v>Name</v>
      </c>
      <c r="H19" s="123" t="str">
        <f>G14</f>
        <v>Ataullah</v>
      </c>
      <c r="I19" s="124"/>
      <c r="J19" s="124"/>
      <c r="K19" s="124"/>
      <c r="L19" s="124"/>
      <c r="M19" s="124"/>
      <c r="N19" s="124"/>
      <c r="O19" s="125"/>
      <c r="P19" s="1"/>
    </row>
    <row r="20" spans="4:18" ht="37.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8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8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8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29"/>
      <c r="Q23" s="1"/>
    </row>
    <row r="24" spans="4:18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29"/>
      <c r="Q24" s="1"/>
    </row>
    <row r="25" spans="4:18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29"/>
      <c r="Q25" s="1"/>
    </row>
    <row r="26" spans="4:18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29"/>
      <c r="Q26" s="1"/>
    </row>
    <row r="27" spans="4:18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29"/>
      <c r="Q27" s="1"/>
    </row>
    <row r="28" spans="4:18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29"/>
      <c r="Q28" s="1"/>
      <c r="R28" s="55"/>
    </row>
    <row r="29" spans="4:18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29"/>
      <c r="Q29" s="1"/>
      <c r="R29" s="55"/>
    </row>
    <row r="30" spans="4:18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29"/>
      <c r="Q30" s="1"/>
      <c r="R30" s="55"/>
    </row>
    <row r="31" spans="4:18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29"/>
      <c r="Q31" s="1"/>
      <c r="R31" s="55"/>
    </row>
    <row r="32" spans="4:18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29"/>
      <c r="Q32" s="1"/>
      <c r="R32" s="55"/>
    </row>
    <row r="33" spans="3:18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29"/>
      <c r="Q33" s="1"/>
      <c r="R33" s="55"/>
    </row>
    <row r="34" spans="3:18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29"/>
      <c r="Q34" s="1"/>
      <c r="R34" s="55"/>
    </row>
    <row r="35" spans="3:18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29"/>
      <c r="Q35" s="1"/>
      <c r="R35" s="55"/>
    </row>
    <row r="36" spans="3:18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29"/>
      <c r="Q36" s="1"/>
      <c r="R36" s="55"/>
    </row>
    <row r="37" spans="3:18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29"/>
      <c r="Q37" s="1"/>
      <c r="R37" s="55"/>
    </row>
    <row r="38" spans="3:18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29"/>
      <c r="Q38" s="1"/>
      <c r="R38" s="55"/>
    </row>
    <row r="39" spans="3:18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29"/>
      <c r="Q39" s="1"/>
      <c r="R39" s="55"/>
    </row>
    <row r="40" spans="3:18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29"/>
      <c r="Q40" s="1"/>
      <c r="R40" s="55"/>
    </row>
    <row r="41" spans="3:18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29"/>
      <c r="Q41" s="1"/>
      <c r="R41" s="55"/>
    </row>
    <row r="42" spans="3:18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29"/>
      <c r="Q42" s="1"/>
    </row>
    <row r="43" spans="3:18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29"/>
      <c r="Q43" s="1"/>
    </row>
    <row r="44" spans="3:18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53"/>
      <c r="Q44" s="1"/>
    </row>
    <row r="45" spans="3:18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53"/>
      <c r="Q45" s="1"/>
    </row>
    <row r="46" spans="3:18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53"/>
      <c r="Q46" s="1"/>
    </row>
    <row r="47" spans="3:18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53"/>
      <c r="Q47" s="1"/>
    </row>
    <row r="48" spans="3:18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53"/>
      <c r="Q48" s="1"/>
    </row>
    <row r="49" spans="4:18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8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8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  <c r="P51" s="1"/>
      <c r="Q51" s="1"/>
    </row>
    <row r="52" spans="4:18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  <c r="P52" s="1"/>
      <c r="Q52" s="1"/>
    </row>
    <row r="53" spans="4:18" ht="24.75" customHeight="1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83">
        <v>0</v>
      </c>
      <c r="P53" s="29"/>
      <c r="Q53" s="1"/>
      <c r="R53" s="1"/>
    </row>
    <row r="55" spans="4:18" ht="21" x14ac:dyDescent="0.35">
      <c r="E55" s="2" t="s">
        <v>114</v>
      </c>
      <c r="H55" s="39" t="s">
        <v>0</v>
      </c>
      <c r="I55" s="107" t="str">
        <f>H19</f>
        <v>Ataullah</v>
      </c>
      <c r="J55" s="107"/>
      <c r="K55" s="107"/>
      <c r="L55" s="107"/>
      <c r="M55" s="107"/>
    </row>
    <row r="56" spans="4:18" ht="21" x14ac:dyDescent="0.35">
      <c r="E56" s="2"/>
      <c r="H56" s="39" t="s">
        <v>74</v>
      </c>
      <c r="I56" s="120">
        <f>I14</f>
        <v>55000</v>
      </c>
      <c r="J56" s="120"/>
      <c r="K56" s="120"/>
      <c r="L56" s="120"/>
      <c r="M56" s="120"/>
    </row>
    <row r="57" spans="4:18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8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8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8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8" ht="21" x14ac:dyDescent="0.35">
      <c r="E61" s="2"/>
      <c r="H61" s="39" t="s">
        <v>77</v>
      </c>
      <c r="I61" s="106">
        <f>I56+K57+I58+I59+I60</f>
        <v>56500</v>
      </c>
      <c r="J61" s="107"/>
      <c r="K61" s="107"/>
      <c r="L61" s="107"/>
      <c r="M61" s="107"/>
    </row>
    <row r="62" spans="4:18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8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8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55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55" ht="21" x14ac:dyDescent="0.35">
      <c r="E66" s="2"/>
      <c r="H66" s="40" t="s">
        <v>81</v>
      </c>
      <c r="I66" s="106">
        <f>M14+K57+I58+I59+I60-K62-I64-I65</f>
        <v>56500</v>
      </c>
      <c r="J66" s="107"/>
      <c r="K66" s="107"/>
      <c r="L66" s="107"/>
      <c r="M66" s="107"/>
    </row>
    <row r="78" spans="5:55" x14ac:dyDescent="0.25"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spans="5:55" x14ac:dyDescent="0.25"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spans="5:55" x14ac:dyDescent="0.25"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spans="36:55" ht="15" customHeight="1" x14ac:dyDescent="0.25"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spans="36:55" ht="15" customHeight="1" x14ac:dyDescent="0.25">
      <c r="AJ82" s="31"/>
      <c r="AK82" s="31"/>
      <c r="AL82" s="31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31"/>
      <c r="BB82" s="31"/>
      <c r="BC82" s="31"/>
    </row>
    <row r="83" spans="36:55" ht="15.75" customHeight="1" x14ac:dyDescent="0.25">
      <c r="AJ83" s="31"/>
      <c r="AK83" s="31"/>
      <c r="AL83" s="31"/>
      <c r="AM83" s="127"/>
      <c r="AN83" s="127"/>
      <c r="AO83" s="127"/>
      <c r="AP83" s="127"/>
      <c r="AQ83" s="127"/>
      <c r="AR83" s="127"/>
      <c r="AS83" s="127"/>
      <c r="AT83" s="127"/>
      <c r="AU83" s="127"/>
      <c r="AV83" s="127"/>
      <c r="AW83" s="127"/>
      <c r="AX83" s="127"/>
      <c r="AY83" s="127"/>
      <c r="AZ83" s="127"/>
      <c r="BA83" s="31"/>
      <c r="BB83" s="31"/>
      <c r="BC83" s="31"/>
    </row>
    <row r="84" spans="36:55" x14ac:dyDescent="0.25">
      <c r="AJ84" s="31"/>
      <c r="AK84" s="31"/>
      <c r="AL84" s="31"/>
      <c r="AM84" s="127"/>
      <c r="AN84" s="127"/>
      <c r="AO84" s="127"/>
      <c r="AP84" s="127"/>
      <c r="AQ84" s="127"/>
      <c r="AR84" s="127"/>
      <c r="AS84" s="127"/>
      <c r="AT84" s="127"/>
      <c r="AU84" s="127"/>
      <c r="AV84" s="127"/>
      <c r="AW84" s="127"/>
      <c r="AX84" s="127"/>
      <c r="AY84" s="127"/>
      <c r="AZ84" s="127"/>
      <c r="BA84" s="31"/>
      <c r="BB84" s="31"/>
      <c r="BC84" s="31"/>
    </row>
    <row r="85" spans="36:55" x14ac:dyDescent="0.25">
      <c r="AJ85" s="31"/>
      <c r="AK85" s="31"/>
      <c r="AL85" s="31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1"/>
      <c r="BB85" s="31"/>
      <c r="BC85" s="31"/>
    </row>
    <row r="86" spans="36:55" x14ac:dyDescent="0.25">
      <c r="AJ86" s="31"/>
      <c r="AK86" s="31"/>
      <c r="AL86" s="31"/>
      <c r="AM86" s="31"/>
      <c r="AN86" s="31"/>
      <c r="AO86" s="31"/>
      <c r="AP86" s="31"/>
      <c r="AQ86" s="31"/>
      <c r="AR86" s="33"/>
      <c r="AS86" s="31"/>
      <c r="AT86" s="31"/>
      <c r="AU86" s="34"/>
      <c r="AV86" s="31"/>
      <c r="AW86" s="33"/>
      <c r="AX86" s="31"/>
      <c r="AY86" s="31"/>
      <c r="AZ86" s="33"/>
      <c r="BA86" s="31"/>
      <c r="BB86" s="31"/>
      <c r="BC86" s="31"/>
    </row>
    <row r="87" spans="36:55" x14ac:dyDescent="0.25">
      <c r="AJ87" s="31"/>
      <c r="AK87" s="31"/>
      <c r="AL87" s="31"/>
      <c r="AM87" s="31"/>
      <c r="AN87" s="31"/>
      <c r="AO87" s="31"/>
      <c r="AP87" s="31"/>
      <c r="AQ87" s="31"/>
      <c r="AR87" s="33"/>
      <c r="AS87" s="31"/>
      <c r="AT87" s="31"/>
      <c r="AU87" s="34"/>
      <c r="AV87" s="33"/>
      <c r="AW87" s="33"/>
      <c r="AX87" s="31"/>
      <c r="AY87" s="33"/>
      <c r="AZ87" s="33"/>
      <c r="BA87" s="31"/>
      <c r="BB87" s="31"/>
      <c r="BC87" s="31"/>
    </row>
    <row r="88" spans="36:55" x14ac:dyDescent="0.25">
      <c r="AJ88" s="31"/>
      <c r="AK88" s="31"/>
      <c r="AL88" s="31"/>
      <c r="AM88" s="31"/>
      <c r="AN88" s="31"/>
      <c r="AO88" s="31"/>
      <c r="AP88" s="31"/>
      <c r="AQ88" s="31"/>
      <c r="AR88" s="33"/>
      <c r="AS88" s="31"/>
      <c r="AT88" s="31"/>
      <c r="AU88" s="31"/>
      <c r="AV88" s="33"/>
      <c r="AW88" s="31"/>
      <c r="AX88" s="31"/>
      <c r="AY88" s="31"/>
      <c r="AZ88" s="31"/>
      <c r="BA88" s="31"/>
      <c r="BB88" s="31"/>
      <c r="BC88" s="31"/>
    </row>
    <row r="89" spans="36:55" x14ac:dyDescent="0.25"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spans="36:55" x14ac:dyDescent="0.25"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spans="36:55" x14ac:dyDescent="0.25"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spans="36:55" x14ac:dyDescent="0.25"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spans="36:55" x14ac:dyDescent="0.25"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spans="36:55" x14ac:dyDescent="0.25"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spans="36:55" x14ac:dyDescent="0.25"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spans="36:55" x14ac:dyDescent="0.25"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spans="36:55" x14ac:dyDescent="0.25"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spans="36:55" x14ac:dyDescent="0.25"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spans="36:55" x14ac:dyDescent="0.25"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spans="36:55" x14ac:dyDescent="0.25"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</sheetData>
  <mergeCells count="25">
    <mergeCell ref="G9:Q10"/>
    <mergeCell ref="H53:J53"/>
    <mergeCell ref="I63:J63"/>
    <mergeCell ref="K63:M63"/>
    <mergeCell ref="H19:O19"/>
    <mergeCell ref="H17:N17"/>
    <mergeCell ref="I22:O22"/>
    <mergeCell ref="I29:O29"/>
    <mergeCell ref="I36:O36"/>
    <mergeCell ref="I43:O43"/>
    <mergeCell ref="I50:O50"/>
    <mergeCell ref="AM82:AZ84"/>
    <mergeCell ref="I55:M55"/>
    <mergeCell ref="I56:M56"/>
    <mergeCell ref="I58:M58"/>
    <mergeCell ref="I59:M59"/>
    <mergeCell ref="I60:M60"/>
    <mergeCell ref="I61:M61"/>
    <mergeCell ref="I66:M66"/>
    <mergeCell ref="I57:J57"/>
    <mergeCell ref="K57:M57"/>
    <mergeCell ref="I62:J62"/>
    <mergeCell ref="K62:M62"/>
    <mergeCell ref="I64:M64"/>
    <mergeCell ref="I65:M65"/>
  </mergeCells>
  <pageMargins left="0" right="0" top="1.3385826771653544" bottom="0.74803149606299213" header="0.31496062992125984" footer="0.31496062992125984"/>
  <pageSetup paperSize="9" scale="1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5:BB98"/>
  <sheetViews>
    <sheetView topLeftCell="A12" zoomScale="98" zoomScaleNormal="98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10.28515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34</v>
      </c>
      <c r="H14" s="9" t="s">
        <v>80</v>
      </c>
      <c r="I14" s="9">
        <v>46000</v>
      </c>
      <c r="J14" s="9">
        <f>I14/30</f>
        <v>1533.3333333333333</v>
      </c>
      <c r="K14" s="9">
        <f>J14/8</f>
        <v>191.66666666666666</v>
      </c>
      <c r="L14" s="9">
        <v>0</v>
      </c>
      <c r="M14" s="9">
        <f>I14-(J14*L14)</f>
        <v>46000</v>
      </c>
      <c r="N14" s="46">
        <f>L50</f>
        <v>0</v>
      </c>
      <c r="O14" s="47">
        <v>0</v>
      </c>
      <c r="P14" s="2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Anwar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29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29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29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29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29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29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29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29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29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29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29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29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29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29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29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29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29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29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29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29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29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53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53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53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53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53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  <c r="P51" s="1"/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  <c r="P52" s="1"/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  <c r="P53" s="29"/>
    </row>
    <row r="55" spans="4:17" ht="21" x14ac:dyDescent="0.35">
      <c r="E55" s="2" t="s">
        <v>114</v>
      </c>
      <c r="H55" s="39" t="s">
        <v>0</v>
      </c>
      <c r="I55" s="107" t="str">
        <f>H19</f>
        <v>Anwar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46000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47500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54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54" ht="21" x14ac:dyDescent="0.35">
      <c r="E66" s="2"/>
      <c r="H66" s="40" t="s">
        <v>81</v>
      </c>
      <c r="I66" s="106">
        <f>M14+K57+I58+I59+I60-K62-I64-I65</f>
        <v>47500</v>
      </c>
      <c r="J66" s="107"/>
      <c r="K66" s="107"/>
      <c r="L66" s="107"/>
      <c r="M66" s="107"/>
    </row>
    <row r="76" spans="5:54" x14ac:dyDescent="0.25"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</row>
    <row r="77" spans="5:54" ht="15" customHeight="1" x14ac:dyDescent="0.25"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</row>
    <row r="78" spans="5:54" ht="15" customHeight="1" x14ac:dyDescent="0.25"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</row>
    <row r="79" spans="5:54" ht="15.75" customHeight="1" x14ac:dyDescent="0.25"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</row>
    <row r="80" spans="5:54" x14ac:dyDescent="0.25">
      <c r="AI80" s="31"/>
      <c r="AJ80" s="31"/>
      <c r="AK80" s="31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31"/>
      <c r="BA80" s="31"/>
      <c r="BB80" s="31"/>
    </row>
    <row r="81" spans="35:54" x14ac:dyDescent="0.25">
      <c r="AI81" s="31"/>
      <c r="AJ81" s="31"/>
      <c r="AK81" s="31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31"/>
      <c r="BA81" s="31"/>
      <c r="BB81" s="31"/>
    </row>
    <row r="82" spans="35:54" x14ac:dyDescent="0.25">
      <c r="AI82" s="31"/>
      <c r="AJ82" s="31"/>
      <c r="AK82" s="31"/>
      <c r="AL82" s="127"/>
      <c r="AM82" s="127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31"/>
      <c r="BA82" s="31"/>
      <c r="BB82" s="31"/>
    </row>
    <row r="83" spans="35:54" x14ac:dyDescent="0.25">
      <c r="AI83" s="31"/>
      <c r="AJ83" s="31"/>
      <c r="AK83" s="31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1"/>
      <c r="BA83" s="31"/>
      <c r="BB83" s="31"/>
    </row>
    <row r="84" spans="35:54" x14ac:dyDescent="0.25">
      <c r="AI84" s="31"/>
      <c r="AJ84" s="31"/>
      <c r="AK84" s="31"/>
      <c r="AL84" s="31"/>
      <c r="AM84" s="31"/>
      <c r="AN84" s="31"/>
      <c r="AO84" s="31"/>
      <c r="AP84" s="31"/>
      <c r="AQ84" s="33"/>
      <c r="AR84" s="31"/>
      <c r="AS84" s="31"/>
      <c r="AT84" s="34"/>
      <c r="AU84" s="31"/>
      <c r="AV84" s="33"/>
      <c r="AW84" s="31"/>
      <c r="AX84" s="31"/>
      <c r="AY84" s="33"/>
      <c r="AZ84" s="31"/>
      <c r="BA84" s="31"/>
      <c r="BB84" s="31"/>
    </row>
    <row r="85" spans="35:54" x14ac:dyDescent="0.25">
      <c r="AI85" s="31"/>
      <c r="AJ85" s="31"/>
      <c r="AK85" s="31"/>
      <c r="AL85" s="31"/>
      <c r="AM85" s="31"/>
      <c r="AN85" s="31"/>
      <c r="AO85" s="31"/>
      <c r="AP85" s="31"/>
      <c r="AQ85" s="33"/>
      <c r="AR85" s="31"/>
      <c r="AS85" s="31"/>
      <c r="AT85" s="34"/>
      <c r="AU85" s="33"/>
      <c r="AV85" s="33"/>
      <c r="AW85" s="31"/>
      <c r="AX85" s="33"/>
      <c r="AY85" s="33"/>
      <c r="AZ85" s="31"/>
      <c r="BA85" s="31"/>
      <c r="BB85" s="31"/>
    </row>
    <row r="86" spans="35:54" x14ac:dyDescent="0.25">
      <c r="AI86" s="31"/>
      <c r="AJ86" s="31"/>
      <c r="AK86" s="31"/>
      <c r="AL86" s="31"/>
      <c r="AM86" s="31"/>
      <c r="AN86" s="31"/>
      <c r="AO86" s="31"/>
      <c r="AP86" s="31"/>
      <c r="AQ86" s="33"/>
      <c r="AR86" s="31"/>
      <c r="AS86" s="31"/>
      <c r="AT86" s="31"/>
      <c r="AU86" s="33"/>
      <c r="AV86" s="31"/>
      <c r="AW86" s="31"/>
      <c r="AX86" s="31"/>
      <c r="AY86" s="31"/>
      <c r="AZ86" s="31"/>
      <c r="BA86" s="31"/>
      <c r="BB86" s="31"/>
    </row>
    <row r="87" spans="35:54" x14ac:dyDescent="0.25"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</row>
    <row r="88" spans="35:54" x14ac:dyDescent="0.25"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</row>
    <row r="89" spans="35:54" x14ac:dyDescent="0.25"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</row>
    <row r="90" spans="35:54" x14ac:dyDescent="0.25"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</row>
    <row r="91" spans="35:54" x14ac:dyDescent="0.25"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</row>
    <row r="92" spans="35:54" x14ac:dyDescent="0.25"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</row>
    <row r="93" spans="35:54" x14ac:dyDescent="0.25"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</row>
    <row r="94" spans="35:54" x14ac:dyDescent="0.25"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</row>
    <row r="95" spans="35:54" x14ac:dyDescent="0.25"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</row>
    <row r="96" spans="35:54" x14ac:dyDescent="0.25"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</row>
    <row r="97" spans="35:54" x14ac:dyDescent="0.25"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</row>
    <row r="98" spans="35:54" x14ac:dyDescent="0.25"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</row>
  </sheetData>
  <mergeCells count="25">
    <mergeCell ref="AL80:AY82"/>
    <mergeCell ref="I55:M55"/>
    <mergeCell ref="I56:M56"/>
    <mergeCell ref="I61:M61"/>
    <mergeCell ref="I59:M59"/>
    <mergeCell ref="I60:M60"/>
    <mergeCell ref="I62:J62"/>
    <mergeCell ref="K62:M62"/>
    <mergeCell ref="I63:J63"/>
    <mergeCell ref="K63:M63"/>
    <mergeCell ref="I64:M64"/>
    <mergeCell ref="I65:M65"/>
    <mergeCell ref="G9:O10"/>
    <mergeCell ref="I58:M58"/>
    <mergeCell ref="H19:O19"/>
    <mergeCell ref="I22:O22"/>
    <mergeCell ref="I29:O29"/>
    <mergeCell ref="I36:O36"/>
    <mergeCell ref="I43:O43"/>
    <mergeCell ref="I66:M66"/>
    <mergeCell ref="H17:N17"/>
    <mergeCell ref="I50:O50"/>
    <mergeCell ref="H53:J53"/>
    <mergeCell ref="I57:J57"/>
    <mergeCell ref="K57:M57"/>
  </mergeCells>
  <pageMargins left="0" right="0" top="0.78740157480314965" bottom="0" header="0" footer="0"/>
  <pageSetup paperSize="9" scale="1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BB97"/>
  <sheetViews>
    <sheetView topLeftCell="A6" zoomScaleNormal="100" workbookViewId="0">
      <selection activeCell="P17" sqref="P17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" customWidth="1"/>
    <col min="15" max="15" width="10.140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36</v>
      </c>
      <c r="H14" s="9" t="s">
        <v>80</v>
      </c>
      <c r="I14" s="9">
        <v>50000</v>
      </c>
      <c r="J14" s="9">
        <f>I14/30</f>
        <v>1666.6666666666667</v>
      </c>
      <c r="K14" s="9">
        <f>J14/8</f>
        <v>208.33333333333334</v>
      </c>
      <c r="L14" s="9">
        <v>0</v>
      </c>
      <c r="M14" s="9">
        <f>I14-(J14*L14)</f>
        <v>50000</v>
      </c>
      <c r="N14" s="46">
        <f>L53</f>
        <v>0</v>
      </c>
      <c r="O14" s="47">
        <v>0</v>
      </c>
      <c r="P14" s="37">
        <f>O53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 t="s">
        <v>63</v>
      </c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Shoaib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20">
        <v>0</v>
      </c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20">
        <v>0</v>
      </c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20">
        <v>0</v>
      </c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20">
        <v>0</v>
      </c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20">
        <v>0</v>
      </c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20">
        <v>0</v>
      </c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20">
        <v>0</v>
      </c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20">
        <v>0</v>
      </c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20">
        <v>0</v>
      </c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20">
        <v>0</v>
      </c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20">
        <v>0</v>
      </c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20">
        <v>0</v>
      </c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20">
        <v>0</v>
      </c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20">
        <v>0</v>
      </c>
      <c r="Q38" s="1" t="s">
        <v>63</v>
      </c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20">
        <v>0</v>
      </c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20">
        <v>0</v>
      </c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20">
        <v>0</v>
      </c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20">
        <v>0</v>
      </c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37">
        <f>P140</f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Shoaib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50000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51500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54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54" ht="21" x14ac:dyDescent="0.35">
      <c r="E66" s="2"/>
      <c r="H66" s="40" t="s">
        <v>81</v>
      </c>
      <c r="I66" s="106">
        <f>M14+K57+I58+I59+I60-K62-I64-I65</f>
        <v>51500</v>
      </c>
      <c r="J66" s="107"/>
      <c r="K66" s="107"/>
      <c r="L66" s="107"/>
      <c r="M66" s="107"/>
    </row>
    <row r="75" spans="5:54" x14ac:dyDescent="0.25"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</row>
    <row r="76" spans="5:54" x14ac:dyDescent="0.25"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</row>
    <row r="77" spans="5:54" ht="15" customHeight="1" x14ac:dyDescent="0.25"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</row>
    <row r="78" spans="5:54" ht="15" customHeight="1" x14ac:dyDescent="0.25"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</row>
    <row r="79" spans="5:54" ht="15.75" customHeight="1" x14ac:dyDescent="0.25">
      <c r="AI79" s="31"/>
      <c r="AJ79" s="31"/>
      <c r="AK79" s="31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31"/>
      <c r="BA79" s="31"/>
      <c r="BB79" s="31"/>
    </row>
    <row r="80" spans="5:54" x14ac:dyDescent="0.25">
      <c r="AI80" s="31"/>
      <c r="AJ80" s="31"/>
      <c r="AK80" s="31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31"/>
      <c r="BA80" s="31"/>
      <c r="BB80" s="31"/>
    </row>
    <row r="81" spans="35:54" x14ac:dyDescent="0.25">
      <c r="AI81" s="31"/>
      <c r="AJ81" s="31"/>
      <c r="AK81" s="31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31"/>
      <c r="BA81" s="31"/>
      <c r="BB81" s="31"/>
    </row>
    <row r="82" spans="35:54" x14ac:dyDescent="0.25">
      <c r="AI82" s="31"/>
      <c r="AJ82" s="31"/>
      <c r="AK82" s="31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1"/>
      <c r="BA82" s="31"/>
      <c r="BB82" s="31"/>
    </row>
    <row r="83" spans="35:54" x14ac:dyDescent="0.25">
      <c r="AI83" s="31"/>
      <c r="AJ83" s="31"/>
      <c r="AK83" s="31"/>
      <c r="AL83" s="31"/>
      <c r="AM83" s="31"/>
      <c r="AN83" s="31"/>
      <c r="AO83" s="31"/>
      <c r="AP83" s="31"/>
      <c r="AQ83" s="33"/>
      <c r="AR83" s="31"/>
      <c r="AS83" s="31"/>
      <c r="AT83" s="34"/>
      <c r="AU83" s="31"/>
      <c r="AV83" s="33"/>
      <c r="AW83" s="31"/>
      <c r="AX83" s="31"/>
      <c r="AY83" s="33"/>
      <c r="AZ83" s="31"/>
      <c r="BA83" s="31"/>
      <c r="BB83" s="31"/>
    </row>
    <row r="84" spans="35:54" x14ac:dyDescent="0.25">
      <c r="AI84" s="31"/>
      <c r="AJ84" s="31"/>
      <c r="AK84" s="31"/>
      <c r="AL84" s="31"/>
      <c r="AM84" s="31"/>
      <c r="AN84" s="31"/>
      <c r="AO84" s="31"/>
      <c r="AP84" s="31"/>
      <c r="AQ84" s="33"/>
      <c r="AR84" s="31"/>
      <c r="AS84" s="31"/>
      <c r="AT84" s="34"/>
      <c r="AU84" s="33"/>
      <c r="AV84" s="33"/>
      <c r="AW84" s="31"/>
      <c r="AX84" s="33"/>
      <c r="AY84" s="33"/>
      <c r="AZ84" s="31"/>
      <c r="BA84" s="31"/>
      <c r="BB84" s="31"/>
    </row>
    <row r="85" spans="35:54" x14ac:dyDescent="0.25">
      <c r="AI85" s="31"/>
      <c r="AJ85" s="31"/>
      <c r="AK85" s="31"/>
      <c r="AL85" s="31"/>
      <c r="AM85" s="31"/>
      <c r="AN85" s="31"/>
      <c r="AO85" s="31"/>
      <c r="AP85" s="31"/>
      <c r="AQ85" s="33"/>
      <c r="AR85" s="31"/>
      <c r="AS85" s="31"/>
      <c r="AT85" s="31"/>
      <c r="AU85" s="33"/>
      <c r="AV85" s="31"/>
      <c r="AW85" s="31"/>
      <c r="AX85" s="31"/>
      <c r="AY85" s="31"/>
      <c r="AZ85" s="31"/>
      <c r="BA85" s="31"/>
      <c r="BB85" s="31"/>
    </row>
    <row r="86" spans="35:54" x14ac:dyDescent="0.25"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</row>
    <row r="87" spans="35:54" x14ac:dyDescent="0.25"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</row>
    <row r="88" spans="35:54" x14ac:dyDescent="0.25"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</row>
    <row r="89" spans="35:54" x14ac:dyDescent="0.25"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</row>
    <row r="90" spans="35:54" x14ac:dyDescent="0.25"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</row>
    <row r="91" spans="35:54" x14ac:dyDescent="0.25"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</row>
    <row r="92" spans="35:54" x14ac:dyDescent="0.25"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</row>
    <row r="93" spans="35:54" x14ac:dyDescent="0.25"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</row>
    <row r="94" spans="35:54" x14ac:dyDescent="0.25"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</row>
    <row r="95" spans="35:54" x14ac:dyDescent="0.25"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</row>
    <row r="96" spans="35:54" x14ac:dyDescent="0.25"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</row>
    <row r="97" spans="35:54" x14ac:dyDescent="0.25"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</row>
  </sheetData>
  <mergeCells count="25">
    <mergeCell ref="G9:O10"/>
    <mergeCell ref="AL79:AY81"/>
    <mergeCell ref="H19:O19"/>
    <mergeCell ref="I55:M55"/>
    <mergeCell ref="I56:M56"/>
    <mergeCell ref="I58:M58"/>
    <mergeCell ref="I61:M61"/>
    <mergeCell ref="I22:O22"/>
    <mergeCell ref="I29:O29"/>
    <mergeCell ref="I36:O36"/>
    <mergeCell ref="I43:O43"/>
    <mergeCell ref="I59:M59"/>
    <mergeCell ref="I60:M60"/>
    <mergeCell ref="I62:J62"/>
    <mergeCell ref="K62:M62"/>
    <mergeCell ref="H17:N17"/>
    <mergeCell ref="I50:O50"/>
    <mergeCell ref="H53:J53"/>
    <mergeCell ref="I57:J57"/>
    <mergeCell ref="K57:M57"/>
    <mergeCell ref="I63:J63"/>
    <mergeCell ref="K63:M63"/>
    <mergeCell ref="I64:M64"/>
    <mergeCell ref="I65:M65"/>
    <mergeCell ref="I66:M66"/>
  </mergeCells>
  <pageMargins left="0" right="0" top="0.78740157480314965" bottom="0" header="0" footer="0"/>
  <pageSetup paperSize="9" scale="1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BB97"/>
  <sheetViews>
    <sheetView topLeftCell="A7" zoomScale="98" zoomScaleNormal="98" workbookViewId="0">
      <selection activeCell="J16" sqref="J1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10.28515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37</v>
      </c>
      <c r="H14" s="9" t="s">
        <v>80</v>
      </c>
      <c r="I14" s="9">
        <v>38000</v>
      </c>
      <c r="J14" s="9">
        <f>I14/30</f>
        <v>1266.6666666666667</v>
      </c>
      <c r="K14" s="9">
        <f>J14/8</f>
        <v>158.33333333333334</v>
      </c>
      <c r="L14" s="104">
        <v>0</v>
      </c>
      <c r="M14" s="9">
        <f>I14-(J14*L14)</f>
        <v>38000</v>
      </c>
      <c r="N14" s="46">
        <f>L50</f>
        <v>0</v>
      </c>
      <c r="O14" s="47">
        <v>6450</v>
      </c>
      <c r="P14" s="37">
        <f>O50</f>
        <v>0</v>
      </c>
      <c r="Q14" s="2">
        <v>0</v>
      </c>
    </row>
    <row r="15" spans="3:17" ht="18.75" x14ac:dyDescent="0.25">
      <c r="D15" s="1"/>
      <c r="E15" s="1"/>
      <c r="F15" s="1"/>
      <c r="G15" s="1"/>
      <c r="H15" s="1"/>
      <c r="I15" s="1"/>
      <c r="J15" s="1"/>
      <c r="K15" s="1"/>
      <c r="L15" s="105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Bilal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Bilal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38000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6450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45950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54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54" ht="21" x14ac:dyDescent="0.35">
      <c r="E66" s="2"/>
      <c r="H66" s="40" t="s">
        <v>81</v>
      </c>
      <c r="I66" s="106">
        <f>M14+K57+I58+I59+I60-K62-I64-I65</f>
        <v>45950</v>
      </c>
      <c r="J66" s="107"/>
      <c r="K66" s="107"/>
      <c r="L66" s="107"/>
      <c r="M66" s="107"/>
    </row>
    <row r="75" spans="5:54" x14ac:dyDescent="0.25"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</row>
    <row r="76" spans="5:54" x14ac:dyDescent="0.25"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</row>
    <row r="77" spans="5:54" ht="15" customHeight="1" x14ac:dyDescent="0.25"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</row>
    <row r="78" spans="5:54" ht="15" customHeight="1" x14ac:dyDescent="0.25"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</row>
    <row r="79" spans="5:54" ht="15.75" customHeight="1" x14ac:dyDescent="0.25">
      <c r="AI79" s="31"/>
      <c r="AJ79" s="31"/>
      <c r="AK79" s="31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31"/>
      <c r="BA79" s="31"/>
      <c r="BB79" s="31"/>
    </row>
    <row r="80" spans="5:54" x14ac:dyDescent="0.25">
      <c r="AI80" s="31"/>
      <c r="AJ80" s="31"/>
      <c r="AK80" s="31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31"/>
      <c r="BA80" s="31"/>
      <c r="BB80" s="31"/>
    </row>
    <row r="81" spans="35:54" x14ac:dyDescent="0.25">
      <c r="AI81" s="31"/>
      <c r="AJ81" s="31"/>
      <c r="AK81" s="31"/>
      <c r="AL81" s="127"/>
      <c r="AM81" s="127"/>
      <c r="AN81" s="127"/>
      <c r="AO81" s="127"/>
      <c r="AP81" s="127"/>
      <c r="AQ81" s="127"/>
      <c r="AR81" s="127"/>
      <c r="AS81" s="127"/>
      <c r="AT81" s="127"/>
      <c r="AU81" s="127"/>
      <c r="AV81" s="127"/>
      <c r="AW81" s="127"/>
      <c r="AX81" s="127"/>
      <c r="AY81" s="127"/>
      <c r="AZ81" s="31"/>
      <c r="BA81" s="31"/>
      <c r="BB81" s="31"/>
    </row>
    <row r="82" spans="35:54" x14ac:dyDescent="0.25">
      <c r="AI82" s="31"/>
      <c r="AJ82" s="31"/>
      <c r="AK82" s="31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1"/>
      <c r="BA82" s="31"/>
      <c r="BB82" s="31"/>
    </row>
    <row r="83" spans="35:54" x14ac:dyDescent="0.25">
      <c r="AI83" s="31"/>
      <c r="AJ83" s="31"/>
      <c r="AK83" s="31"/>
      <c r="AL83" s="31"/>
      <c r="AM83" s="31"/>
      <c r="AN83" s="31"/>
      <c r="AO83" s="31"/>
      <c r="AP83" s="31"/>
      <c r="AQ83" s="33"/>
      <c r="AR83" s="31"/>
      <c r="AS83" s="31"/>
      <c r="AT83" s="34"/>
      <c r="AU83" s="31"/>
      <c r="AV83" s="33"/>
      <c r="AW83" s="31"/>
      <c r="AX83" s="31"/>
      <c r="AY83" s="33"/>
      <c r="AZ83" s="31"/>
      <c r="BA83" s="31"/>
      <c r="BB83" s="31"/>
    </row>
    <row r="84" spans="35:54" x14ac:dyDescent="0.25">
      <c r="AI84" s="31"/>
      <c r="AJ84" s="31"/>
      <c r="AK84" s="31"/>
      <c r="AL84" s="31"/>
      <c r="AM84" s="31"/>
      <c r="AN84" s="31"/>
      <c r="AO84" s="31"/>
      <c r="AP84" s="31"/>
      <c r="AQ84" s="33"/>
      <c r="AR84" s="31"/>
      <c r="AS84" s="31"/>
      <c r="AT84" s="34"/>
      <c r="AU84" s="33"/>
      <c r="AV84" s="33"/>
      <c r="AW84" s="31"/>
      <c r="AX84" s="33"/>
      <c r="AY84" s="33"/>
      <c r="AZ84" s="31"/>
      <c r="BA84" s="31"/>
      <c r="BB84" s="31"/>
    </row>
    <row r="85" spans="35:54" x14ac:dyDescent="0.25">
      <c r="AI85" s="31"/>
      <c r="AJ85" s="31"/>
      <c r="AK85" s="31"/>
      <c r="AL85" s="31"/>
      <c r="AM85" s="31"/>
      <c r="AN85" s="31"/>
      <c r="AO85" s="31"/>
      <c r="AP85" s="31"/>
      <c r="AQ85" s="33"/>
      <c r="AR85" s="31"/>
      <c r="AS85" s="31"/>
      <c r="AT85" s="31"/>
      <c r="AU85" s="33"/>
      <c r="AV85" s="31"/>
      <c r="AW85" s="31"/>
      <c r="AX85" s="31"/>
      <c r="AY85" s="31"/>
      <c r="AZ85" s="31"/>
      <c r="BA85" s="31"/>
      <c r="BB85" s="31"/>
    </row>
    <row r="86" spans="35:54" x14ac:dyDescent="0.25"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</row>
    <row r="87" spans="35:54" x14ac:dyDescent="0.25"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</row>
    <row r="88" spans="35:54" x14ac:dyDescent="0.25"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</row>
    <row r="89" spans="35:54" x14ac:dyDescent="0.25"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</row>
    <row r="90" spans="35:54" x14ac:dyDescent="0.25"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</row>
    <row r="91" spans="35:54" x14ac:dyDescent="0.25"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</row>
    <row r="92" spans="35:54" x14ac:dyDescent="0.25"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</row>
    <row r="93" spans="35:54" x14ac:dyDescent="0.25"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</row>
    <row r="94" spans="35:54" x14ac:dyDescent="0.25"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</row>
    <row r="95" spans="35:54" x14ac:dyDescent="0.25"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</row>
    <row r="96" spans="35:54" x14ac:dyDescent="0.25"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</row>
    <row r="97" spans="35:54" x14ac:dyDescent="0.25"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</row>
  </sheetData>
  <mergeCells count="25">
    <mergeCell ref="G9:O10"/>
    <mergeCell ref="AL79:AY81"/>
    <mergeCell ref="H19:O19"/>
    <mergeCell ref="I58:M58"/>
    <mergeCell ref="I22:O22"/>
    <mergeCell ref="I61:M61"/>
    <mergeCell ref="I29:O29"/>
    <mergeCell ref="I36:O36"/>
    <mergeCell ref="I43:O43"/>
    <mergeCell ref="I55:M55"/>
    <mergeCell ref="I56:M56"/>
    <mergeCell ref="I59:M59"/>
    <mergeCell ref="I60:M60"/>
    <mergeCell ref="I62:J62"/>
    <mergeCell ref="K62:M62"/>
    <mergeCell ref="H17:N17"/>
    <mergeCell ref="I50:O50"/>
    <mergeCell ref="H53:J53"/>
    <mergeCell ref="I57:J57"/>
    <mergeCell ref="K57:M57"/>
    <mergeCell ref="I63:J63"/>
    <mergeCell ref="K63:M63"/>
    <mergeCell ref="I64:M64"/>
    <mergeCell ref="I65:M65"/>
    <mergeCell ref="I66:M66"/>
  </mergeCells>
  <pageMargins left="0" right="0" top="0.78740157480314965" bottom="0" header="0" footer="0"/>
  <pageSetup paperSize="9" scale="1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workbookViewId="0">
      <selection activeCell="E24" sqref="E24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102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21" x14ac:dyDescent="0.25">
      <c r="D14" s="1"/>
      <c r="E14" s="1"/>
      <c r="F14" s="1"/>
      <c r="G14" s="9" t="s">
        <v>106</v>
      </c>
      <c r="H14" s="9" t="s">
        <v>96</v>
      </c>
      <c r="I14" s="9">
        <v>22000</v>
      </c>
      <c r="J14" s="9">
        <f>I14/30</f>
        <v>733.33333333333337</v>
      </c>
      <c r="K14" s="9">
        <f>J14/8</f>
        <v>91.666666666666671</v>
      </c>
      <c r="L14" s="9">
        <v>0</v>
      </c>
      <c r="M14" s="9">
        <f>I14-(J14*L14)</f>
        <v>22000</v>
      </c>
      <c r="N14" s="46">
        <f>L50</f>
        <v>0</v>
      </c>
      <c r="O14" s="47">
        <v>1437</v>
      </c>
      <c r="P14" s="59">
        <f>O50</f>
        <v>0</v>
      </c>
      <c r="Q14" s="6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Rafay @2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Rafay @2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22000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1437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24937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24937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AJ77:AW79"/>
    <mergeCell ref="I55:M55"/>
    <mergeCell ref="I56:M56"/>
    <mergeCell ref="I58:M58"/>
    <mergeCell ref="I61:M61"/>
    <mergeCell ref="I62:J62"/>
    <mergeCell ref="K62:M62"/>
    <mergeCell ref="I63:J63"/>
    <mergeCell ref="K63:M63"/>
    <mergeCell ref="I64:M64"/>
    <mergeCell ref="I65:M65"/>
    <mergeCell ref="I66:M66"/>
    <mergeCell ref="G9:O10"/>
    <mergeCell ref="H19:O19"/>
    <mergeCell ref="I22:O22"/>
    <mergeCell ref="I29:O29"/>
    <mergeCell ref="I36:O36"/>
    <mergeCell ref="I43:O43"/>
    <mergeCell ref="H17:N17"/>
    <mergeCell ref="I50:O50"/>
    <mergeCell ref="H53:J53"/>
    <mergeCell ref="I57:J57"/>
    <mergeCell ref="K57:M57"/>
    <mergeCell ref="I59:M59"/>
    <mergeCell ref="I60:M60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BB96"/>
  <sheetViews>
    <sheetView zoomScale="98" zoomScaleNormal="98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" customWidth="1"/>
    <col min="15" max="15" width="10.28515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85</v>
      </c>
      <c r="H14" s="9" t="s">
        <v>80</v>
      </c>
      <c r="I14" s="9">
        <v>57000</v>
      </c>
      <c r="J14" s="9">
        <f>I14/30</f>
        <v>1900</v>
      </c>
      <c r="K14" s="9">
        <f>J14/8</f>
        <v>237.5</v>
      </c>
      <c r="L14" s="9">
        <v>0</v>
      </c>
      <c r="M14" s="9">
        <f>I14-(J14*L14)</f>
        <v>57000</v>
      </c>
      <c r="N14" s="46">
        <f>L50</f>
        <v>0</v>
      </c>
      <c r="O14" s="47">
        <v>13416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Amir ustad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Amir ustad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57000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13416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71916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54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54" ht="21" x14ac:dyDescent="0.35">
      <c r="E66" s="2"/>
      <c r="H66" s="40" t="s">
        <v>81</v>
      </c>
      <c r="I66" s="106">
        <f>M14+K57+I58+I59+I60-K62-I64-I65</f>
        <v>71916</v>
      </c>
      <c r="J66" s="107"/>
      <c r="K66" s="107"/>
      <c r="L66" s="107"/>
      <c r="M66" s="107"/>
    </row>
    <row r="74" spans="5:54" x14ac:dyDescent="0.25"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</row>
    <row r="75" spans="5:54" x14ac:dyDescent="0.25"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</row>
    <row r="76" spans="5:54" x14ac:dyDescent="0.25"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</row>
    <row r="77" spans="5:54" ht="15" customHeight="1" x14ac:dyDescent="0.25"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</row>
    <row r="78" spans="5:54" ht="15" customHeight="1" x14ac:dyDescent="0.25">
      <c r="AI78" s="31"/>
      <c r="AJ78" s="31"/>
      <c r="AK78" s="31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127"/>
      <c r="AZ78" s="31"/>
      <c r="BA78" s="31"/>
      <c r="BB78" s="31"/>
    </row>
    <row r="79" spans="5:54" ht="15.75" customHeight="1" x14ac:dyDescent="0.25">
      <c r="AI79" s="31"/>
      <c r="AJ79" s="31"/>
      <c r="AK79" s="31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31"/>
      <c r="BA79" s="31"/>
      <c r="BB79" s="31"/>
    </row>
    <row r="80" spans="5:54" x14ac:dyDescent="0.25">
      <c r="AI80" s="31"/>
      <c r="AJ80" s="31"/>
      <c r="AK80" s="31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127"/>
      <c r="AZ80" s="31"/>
      <c r="BA80" s="31"/>
      <c r="BB80" s="31"/>
    </row>
    <row r="81" spans="35:54" x14ac:dyDescent="0.25">
      <c r="AI81" s="31"/>
      <c r="AJ81" s="31"/>
      <c r="AK81" s="31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1"/>
      <c r="BA81" s="31"/>
      <c r="BB81" s="31"/>
    </row>
    <row r="82" spans="35:54" x14ac:dyDescent="0.25">
      <c r="AI82" s="31"/>
      <c r="AJ82" s="31"/>
      <c r="AK82" s="31"/>
      <c r="AL82" s="31"/>
      <c r="AM82" s="31"/>
      <c r="AN82" s="31"/>
      <c r="AO82" s="31"/>
      <c r="AP82" s="31"/>
      <c r="AQ82" s="33"/>
      <c r="AR82" s="31"/>
      <c r="AS82" s="31"/>
      <c r="AT82" s="34"/>
      <c r="AU82" s="31"/>
      <c r="AV82" s="33"/>
      <c r="AW82" s="31"/>
      <c r="AX82" s="31"/>
      <c r="AY82" s="33"/>
      <c r="AZ82" s="31"/>
      <c r="BA82" s="31"/>
      <c r="BB82" s="31"/>
    </row>
    <row r="83" spans="35:54" x14ac:dyDescent="0.25">
      <c r="AI83" s="31"/>
      <c r="AJ83" s="31"/>
      <c r="AK83" s="31"/>
      <c r="AL83" s="31"/>
      <c r="AM83" s="31"/>
      <c r="AN83" s="31"/>
      <c r="AO83" s="31"/>
      <c r="AP83" s="31"/>
      <c r="AQ83" s="33"/>
      <c r="AR83" s="31"/>
      <c r="AS83" s="31"/>
      <c r="AT83" s="34"/>
      <c r="AU83" s="33"/>
      <c r="AV83" s="33"/>
      <c r="AW83" s="31"/>
      <c r="AX83" s="33"/>
      <c r="AY83" s="33"/>
      <c r="AZ83" s="31"/>
      <c r="BA83" s="31"/>
      <c r="BB83" s="31"/>
    </row>
    <row r="84" spans="35:54" x14ac:dyDescent="0.25">
      <c r="AI84" s="31"/>
      <c r="AJ84" s="31"/>
      <c r="AK84" s="31"/>
      <c r="AL84" s="31"/>
      <c r="AM84" s="31"/>
      <c r="AN84" s="31"/>
      <c r="AO84" s="31"/>
      <c r="AP84" s="31"/>
      <c r="AQ84" s="33"/>
      <c r="AR84" s="31"/>
      <c r="AS84" s="31"/>
      <c r="AT84" s="31"/>
      <c r="AU84" s="33"/>
      <c r="AV84" s="31"/>
      <c r="AW84" s="31"/>
      <c r="AX84" s="31"/>
      <c r="AY84" s="31"/>
      <c r="AZ84" s="31"/>
      <c r="BA84" s="31"/>
      <c r="BB84" s="31"/>
    </row>
    <row r="85" spans="35:54" x14ac:dyDescent="0.25"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</row>
    <row r="86" spans="35:54" x14ac:dyDescent="0.25"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</row>
    <row r="87" spans="35:54" x14ac:dyDescent="0.25"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</row>
    <row r="88" spans="35:54" x14ac:dyDescent="0.25"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</row>
    <row r="89" spans="35:54" x14ac:dyDescent="0.25"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</row>
    <row r="90" spans="35:54" x14ac:dyDescent="0.25"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</row>
    <row r="91" spans="35:54" x14ac:dyDescent="0.25"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</row>
    <row r="92" spans="35:54" x14ac:dyDescent="0.25"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</row>
    <row r="93" spans="35:54" x14ac:dyDescent="0.25"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</row>
    <row r="94" spans="35:54" x14ac:dyDescent="0.25"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</row>
    <row r="95" spans="35:54" x14ac:dyDescent="0.25"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</row>
    <row r="96" spans="35:54" x14ac:dyDescent="0.25"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</row>
  </sheetData>
  <mergeCells count="25">
    <mergeCell ref="G9:O10"/>
    <mergeCell ref="H19:O19"/>
    <mergeCell ref="AL78:AY80"/>
    <mergeCell ref="I55:M55"/>
    <mergeCell ref="I56:M56"/>
    <mergeCell ref="I58:M58"/>
    <mergeCell ref="I61:M61"/>
    <mergeCell ref="I22:O22"/>
    <mergeCell ref="I29:O29"/>
    <mergeCell ref="I36:O36"/>
    <mergeCell ref="I43:O43"/>
    <mergeCell ref="I59:M59"/>
    <mergeCell ref="I60:M60"/>
    <mergeCell ref="I62:J62"/>
    <mergeCell ref="K62:M62"/>
    <mergeCell ref="I63:J63"/>
    <mergeCell ref="I64:M64"/>
    <mergeCell ref="I65:M65"/>
    <mergeCell ref="I66:M66"/>
    <mergeCell ref="H17:N17"/>
    <mergeCell ref="I50:O50"/>
    <mergeCell ref="H53:J53"/>
    <mergeCell ref="I57:J57"/>
    <mergeCell ref="K57:M57"/>
    <mergeCell ref="K63:M63"/>
  </mergeCells>
  <pageMargins left="0" right="0" top="1.3385826771653544" bottom="0.74803149606299213" header="0.31496062992125984" footer="0.31496062992125984"/>
  <pageSetup paperSize="9" scale="1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BA96"/>
  <sheetViews>
    <sheetView zoomScale="98" zoomScaleNormal="98" workbookViewId="0">
      <selection activeCell="F21" sqref="F21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5.140625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.140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37.5" x14ac:dyDescent="0.25">
      <c r="D14" s="1"/>
      <c r="E14" s="1"/>
      <c r="F14" s="1"/>
      <c r="G14" s="52" t="s">
        <v>86</v>
      </c>
      <c r="H14" s="9" t="s">
        <v>94</v>
      </c>
      <c r="I14" s="9">
        <v>60000</v>
      </c>
      <c r="J14" s="9">
        <f>I14/30</f>
        <v>2000</v>
      </c>
      <c r="K14" s="9">
        <f>J14/8</f>
        <v>250</v>
      </c>
      <c r="L14" s="9">
        <v>0</v>
      </c>
      <c r="M14" s="9">
        <f>I14-(J14*L14)</f>
        <v>60000</v>
      </c>
      <c r="N14" s="46">
        <f>L50</f>
        <v>0</v>
      </c>
      <c r="O14" s="47">
        <v>0</v>
      </c>
      <c r="P14" s="37">
        <f>O50</f>
        <v>0</v>
      </c>
      <c r="Q14" s="2">
        <v>1040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6.25" x14ac:dyDescent="0.25">
      <c r="D19" s="1"/>
      <c r="E19" s="1"/>
      <c r="F19" s="1"/>
      <c r="G19" s="9" t="str">
        <f>G12</f>
        <v>Name</v>
      </c>
      <c r="H19" s="123" t="str">
        <f>G14</f>
        <v>Faheem cutting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Faheem cutting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60000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61500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1040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53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53" ht="21" x14ac:dyDescent="0.35">
      <c r="E66" s="2"/>
      <c r="H66" s="40" t="s">
        <v>81</v>
      </c>
      <c r="I66" s="106">
        <f>M14+K57+I58+I59+I60-K62-I64-I65</f>
        <v>60460</v>
      </c>
      <c r="J66" s="107"/>
      <c r="K66" s="107"/>
      <c r="L66" s="107"/>
      <c r="M66" s="107"/>
    </row>
    <row r="74" spans="5:53" x14ac:dyDescent="0.25"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</row>
    <row r="75" spans="5:53" x14ac:dyDescent="0.25"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</row>
    <row r="76" spans="5:53" x14ac:dyDescent="0.25"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</row>
    <row r="77" spans="5:53" ht="15" customHeight="1" x14ac:dyDescent="0.25"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</row>
    <row r="78" spans="5:53" ht="15" customHeight="1" x14ac:dyDescent="0.25">
      <c r="AH78" s="31"/>
      <c r="AI78" s="31"/>
      <c r="AJ78" s="31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127"/>
      <c r="AY78" s="31"/>
      <c r="AZ78" s="31"/>
      <c r="BA78" s="31"/>
    </row>
    <row r="79" spans="5:53" ht="15.75" customHeight="1" x14ac:dyDescent="0.25">
      <c r="AH79" s="31"/>
      <c r="AI79" s="31"/>
      <c r="AJ79" s="31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31"/>
      <c r="AZ79" s="31"/>
      <c r="BA79" s="31"/>
    </row>
    <row r="80" spans="5:53" x14ac:dyDescent="0.25">
      <c r="AH80" s="31"/>
      <c r="AI80" s="31"/>
      <c r="AJ80" s="31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  <c r="AU80" s="127"/>
      <c r="AV80" s="127"/>
      <c r="AW80" s="127"/>
      <c r="AX80" s="127"/>
      <c r="AY80" s="31"/>
      <c r="AZ80" s="31"/>
      <c r="BA80" s="31"/>
    </row>
    <row r="81" spans="34:53" x14ac:dyDescent="0.25">
      <c r="AH81" s="31"/>
      <c r="AI81" s="31"/>
      <c r="AJ81" s="31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1"/>
      <c r="AZ81" s="31"/>
      <c r="BA81" s="31"/>
    </row>
    <row r="82" spans="34:53" x14ac:dyDescent="0.25">
      <c r="AH82" s="31"/>
      <c r="AI82" s="31"/>
      <c r="AJ82" s="31"/>
      <c r="AK82" s="31"/>
      <c r="AL82" s="31"/>
      <c r="AM82" s="31"/>
      <c r="AN82" s="31"/>
      <c r="AO82" s="31"/>
      <c r="AP82" s="33"/>
      <c r="AQ82" s="31"/>
      <c r="AR82" s="31"/>
      <c r="AS82" s="34"/>
      <c r="AT82" s="31"/>
      <c r="AU82" s="33"/>
      <c r="AV82" s="31"/>
      <c r="AW82" s="31"/>
      <c r="AX82" s="33"/>
      <c r="AY82" s="31"/>
      <c r="AZ82" s="31"/>
      <c r="BA82" s="31"/>
    </row>
    <row r="83" spans="34:53" x14ac:dyDescent="0.25">
      <c r="AH83" s="31"/>
      <c r="AI83" s="31"/>
      <c r="AJ83" s="31"/>
      <c r="AK83" s="31"/>
      <c r="AL83" s="31"/>
      <c r="AM83" s="31"/>
      <c r="AN83" s="31"/>
      <c r="AO83" s="31"/>
      <c r="AP83" s="33"/>
      <c r="AQ83" s="31"/>
      <c r="AR83" s="31"/>
      <c r="AS83" s="34"/>
      <c r="AT83" s="33"/>
      <c r="AU83" s="33"/>
      <c r="AV83" s="31"/>
      <c r="AW83" s="33"/>
      <c r="AX83" s="33"/>
      <c r="AY83" s="31"/>
      <c r="AZ83" s="31"/>
      <c r="BA83" s="31"/>
    </row>
    <row r="84" spans="34:53" x14ac:dyDescent="0.25">
      <c r="AH84" s="31"/>
      <c r="AI84" s="31"/>
      <c r="AJ84" s="31"/>
      <c r="AK84" s="31"/>
      <c r="AL84" s="31"/>
      <c r="AM84" s="31"/>
      <c r="AN84" s="31"/>
      <c r="AO84" s="31"/>
      <c r="AP84" s="33"/>
      <c r="AQ84" s="31"/>
      <c r="AR84" s="31"/>
      <c r="AS84" s="31"/>
      <c r="AT84" s="33"/>
      <c r="AU84" s="31"/>
      <c r="AV84" s="31"/>
      <c r="AW84" s="31"/>
      <c r="AX84" s="31"/>
      <c r="AY84" s="31"/>
      <c r="AZ84" s="31"/>
      <c r="BA84" s="31"/>
    </row>
    <row r="85" spans="34:53" x14ac:dyDescent="0.25"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</row>
    <row r="86" spans="34:53" x14ac:dyDescent="0.25"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</row>
    <row r="87" spans="34:53" x14ac:dyDescent="0.25"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</row>
    <row r="88" spans="34:53" x14ac:dyDescent="0.25"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</row>
    <row r="89" spans="34:53" x14ac:dyDescent="0.25"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</row>
    <row r="90" spans="34:53" x14ac:dyDescent="0.25"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</row>
    <row r="91" spans="34:53" x14ac:dyDescent="0.25"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</row>
    <row r="92" spans="34:53" x14ac:dyDescent="0.25"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</row>
    <row r="93" spans="34:53" x14ac:dyDescent="0.25"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</row>
    <row r="94" spans="34:53" x14ac:dyDescent="0.25"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</row>
    <row r="95" spans="34:53" x14ac:dyDescent="0.25"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</row>
    <row r="96" spans="34:53" x14ac:dyDescent="0.25"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</row>
  </sheetData>
  <mergeCells count="25">
    <mergeCell ref="H53:J53"/>
    <mergeCell ref="I57:J57"/>
    <mergeCell ref="H19:O19"/>
    <mergeCell ref="G9:O10"/>
    <mergeCell ref="I22:O22"/>
    <mergeCell ref="I29:O29"/>
    <mergeCell ref="I36:O36"/>
    <mergeCell ref="I43:O43"/>
    <mergeCell ref="H17:N17"/>
    <mergeCell ref="I50:O50"/>
    <mergeCell ref="K57:M57"/>
    <mergeCell ref="AK78:AX80"/>
    <mergeCell ref="I55:M55"/>
    <mergeCell ref="I56:M56"/>
    <mergeCell ref="I58:M58"/>
    <mergeCell ref="I61:M61"/>
    <mergeCell ref="I59:M59"/>
    <mergeCell ref="I60:M60"/>
    <mergeCell ref="I65:M65"/>
    <mergeCell ref="I66:M66"/>
    <mergeCell ref="I62:J62"/>
    <mergeCell ref="K62:M62"/>
    <mergeCell ref="I63:J63"/>
    <mergeCell ref="K63:M63"/>
    <mergeCell ref="I64:M64"/>
  </mergeCells>
  <pageMargins left="0" right="0" top="1.3385826771653544" bottom="0.74803149606299213" header="0.31496062992125984" footer="0.31496062992125984"/>
  <pageSetup paperSize="9" scale="1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Z95"/>
  <sheetViews>
    <sheetView zoomScale="98" zoomScaleNormal="98" zoomScaleSheetLayoutView="30" workbookViewId="0">
      <selection activeCell="D28" sqref="D28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10.140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38</v>
      </c>
      <c r="H14" s="9" t="s">
        <v>80</v>
      </c>
      <c r="I14" s="9">
        <v>45000</v>
      </c>
      <c r="J14" s="9">
        <f>I14/30</f>
        <v>1500</v>
      </c>
      <c r="K14" s="9">
        <f>J14/8</f>
        <v>187.5</v>
      </c>
      <c r="L14" s="9">
        <v>0</v>
      </c>
      <c r="M14" s="9">
        <f>I14-(J14*L14)</f>
        <v>45000</v>
      </c>
      <c r="N14" s="46">
        <f>L50</f>
        <v>0</v>
      </c>
      <c r="O14" s="47">
        <v>1591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Daniyal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Daniyal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45000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1591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48091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52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52" ht="21" x14ac:dyDescent="0.35">
      <c r="E66" s="2"/>
      <c r="H66" s="40" t="s">
        <v>81</v>
      </c>
      <c r="I66" s="106">
        <f>M14+K57+I58+I59+I60-K62-I64-I65</f>
        <v>48091</v>
      </c>
      <c r="J66" s="107"/>
      <c r="K66" s="107"/>
      <c r="L66" s="107"/>
      <c r="M66" s="107"/>
    </row>
    <row r="73" spans="5:52" x14ac:dyDescent="0.25"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</row>
    <row r="74" spans="5:52" x14ac:dyDescent="0.25"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</row>
    <row r="75" spans="5:52" x14ac:dyDescent="0.25"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</row>
    <row r="76" spans="5:52" x14ac:dyDescent="0.25"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</row>
    <row r="77" spans="5:52" x14ac:dyDescent="0.25">
      <c r="AG77" s="31"/>
      <c r="AH77" s="31"/>
      <c r="AI77" s="31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31"/>
      <c r="AY77" s="31"/>
      <c r="AZ77" s="31"/>
    </row>
    <row r="78" spans="5:52" x14ac:dyDescent="0.25">
      <c r="AG78" s="31"/>
      <c r="AH78" s="31"/>
      <c r="AI78" s="31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31"/>
      <c r="AY78" s="31"/>
      <c r="AZ78" s="31"/>
    </row>
    <row r="79" spans="5:52" x14ac:dyDescent="0.25">
      <c r="AG79" s="31"/>
      <c r="AH79" s="31"/>
      <c r="AI79" s="31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31"/>
      <c r="AY79" s="31"/>
      <c r="AZ79" s="31"/>
    </row>
    <row r="80" spans="5:52" x14ac:dyDescent="0.25">
      <c r="AG80" s="31"/>
      <c r="AH80" s="31"/>
      <c r="AI80" s="31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1"/>
      <c r="AY80" s="31"/>
      <c r="AZ80" s="31"/>
    </row>
    <row r="81" spans="33:52" x14ac:dyDescent="0.25">
      <c r="AG81" s="31"/>
      <c r="AH81" s="31"/>
      <c r="AI81" s="31"/>
      <c r="AJ81" s="31"/>
      <c r="AK81" s="31"/>
      <c r="AL81" s="31"/>
      <c r="AM81" s="31"/>
      <c r="AN81" s="31"/>
      <c r="AO81" s="33"/>
      <c r="AP81" s="31"/>
      <c r="AQ81" s="31"/>
      <c r="AR81" s="34"/>
      <c r="AS81" s="31"/>
      <c r="AT81" s="33"/>
      <c r="AU81" s="31"/>
      <c r="AV81" s="31"/>
      <c r="AW81" s="33"/>
      <c r="AX81" s="31"/>
      <c r="AY81" s="31"/>
      <c r="AZ81" s="31"/>
    </row>
    <row r="82" spans="33:52" x14ac:dyDescent="0.25">
      <c r="AG82" s="31"/>
      <c r="AH82" s="31"/>
      <c r="AI82" s="31"/>
      <c r="AJ82" s="31"/>
      <c r="AK82" s="31"/>
      <c r="AL82" s="31"/>
      <c r="AM82" s="31"/>
      <c r="AN82" s="31"/>
      <c r="AO82" s="33"/>
      <c r="AP82" s="31"/>
      <c r="AQ82" s="31"/>
      <c r="AR82" s="34"/>
      <c r="AS82" s="33"/>
      <c r="AT82" s="33"/>
      <c r="AU82" s="31"/>
      <c r="AV82" s="33"/>
      <c r="AW82" s="33"/>
      <c r="AX82" s="31"/>
      <c r="AY82" s="31"/>
      <c r="AZ82" s="31"/>
    </row>
    <row r="83" spans="33:52" x14ac:dyDescent="0.25">
      <c r="AG83" s="31"/>
      <c r="AH83" s="31"/>
      <c r="AI83" s="31"/>
      <c r="AJ83" s="31"/>
      <c r="AK83" s="31"/>
      <c r="AL83" s="31"/>
      <c r="AM83" s="31"/>
      <c r="AN83" s="31"/>
      <c r="AO83" s="33"/>
      <c r="AP83" s="31"/>
      <c r="AQ83" s="31"/>
      <c r="AR83" s="31"/>
      <c r="AS83" s="33"/>
      <c r="AT83" s="31"/>
      <c r="AU83" s="31"/>
      <c r="AV83" s="31"/>
      <c r="AW83" s="31"/>
      <c r="AX83" s="31"/>
      <c r="AY83" s="31"/>
      <c r="AZ83" s="31"/>
    </row>
    <row r="84" spans="33:52" x14ac:dyDescent="0.25"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</row>
    <row r="85" spans="33:52" x14ac:dyDescent="0.25"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</row>
    <row r="86" spans="33:52" x14ac:dyDescent="0.25"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</row>
    <row r="87" spans="33:52" x14ac:dyDescent="0.25"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</row>
    <row r="88" spans="33:52" x14ac:dyDescent="0.25"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</row>
    <row r="89" spans="33:52" x14ac:dyDescent="0.25"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</row>
    <row r="90" spans="33:52" x14ac:dyDescent="0.25"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</row>
    <row r="91" spans="33:52" x14ac:dyDescent="0.25"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</row>
    <row r="92" spans="33:52" x14ac:dyDescent="0.25"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</row>
    <row r="93" spans="33:52" x14ac:dyDescent="0.25"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</row>
    <row r="94" spans="33:52" x14ac:dyDescent="0.25"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</row>
    <row r="95" spans="33:52" x14ac:dyDescent="0.25"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</row>
  </sheetData>
  <mergeCells count="25">
    <mergeCell ref="G9:O10"/>
    <mergeCell ref="I22:O22"/>
    <mergeCell ref="I29:O29"/>
    <mergeCell ref="I36:O36"/>
    <mergeCell ref="I43:O43"/>
    <mergeCell ref="I55:M55"/>
    <mergeCell ref="H19:O19"/>
    <mergeCell ref="I56:M56"/>
    <mergeCell ref="H17:N17"/>
    <mergeCell ref="I50:O50"/>
    <mergeCell ref="H53:J5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BE103"/>
  <sheetViews>
    <sheetView topLeftCell="A5" zoomScale="98" zoomScaleNormal="98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10.425781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39</v>
      </c>
      <c r="H14" s="9" t="s">
        <v>92</v>
      </c>
      <c r="I14" s="9">
        <v>30000</v>
      </c>
      <c r="J14" s="9">
        <f>I14/30</f>
        <v>1000</v>
      </c>
      <c r="K14" s="9">
        <f>J14/8</f>
        <v>125</v>
      </c>
      <c r="L14" s="9">
        <v>7</v>
      </c>
      <c r="M14" s="9">
        <f>I14-(J14*L14)</f>
        <v>23000</v>
      </c>
      <c r="N14" s="46">
        <f>L50</f>
        <v>0</v>
      </c>
      <c r="O14" s="47">
        <v>4155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Shahzad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Shahzad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30000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4155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35655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7</v>
      </c>
      <c r="J63" s="118"/>
      <c r="K63" s="117">
        <f>L14*J14</f>
        <v>7000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57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57" ht="21" x14ac:dyDescent="0.35">
      <c r="E66" s="2"/>
      <c r="H66" s="40" t="s">
        <v>81</v>
      </c>
      <c r="I66" s="106">
        <f>M14+K57+I58+I59+I60-K62-I64-I65</f>
        <v>28655</v>
      </c>
      <c r="J66" s="107"/>
      <c r="K66" s="107"/>
      <c r="L66" s="107"/>
      <c r="M66" s="107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</row>
    <row r="67" spans="5:57" x14ac:dyDescent="0.25"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</row>
    <row r="68" spans="5:57" x14ac:dyDescent="0.25"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</row>
    <row r="69" spans="5:57" x14ac:dyDescent="0.25"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</row>
    <row r="70" spans="5:57" x14ac:dyDescent="0.25"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</row>
    <row r="71" spans="5:57" x14ac:dyDescent="0.25"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</row>
    <row r="72" spans="5:57" x14ac:dyDescent="0.25"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</row>
    <row r="73" spans="5:57" x14ac:dyDescent="0.25"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</row>
    <row r="74" spans="5:57" x14ac:dyDescent="0.25"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</row>
    <row r="75" spans="5:57" x14ac:dyDescent="0.25"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</row>
    <row r="76" spans="5:57" x14ac:dyDescent="0.25"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</row>
    <row r="77" spans="5:57" x14ac:dyDescent="0.25">
      <c r="AI77" s="31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31"/>
      <c r="AY77" s="31"/>
      <c r="AZ77" s="31"/>
      <c r="BA77" s="31"/>
      <c r="BB77" s="31"/>
      <c r="BC77" s="31"/>
      <c r="BD77" s="31"/>
      <c r="BE77" s="31"/>
    </row>
    <row r="78" spans="5:57" x14ac:dyDescent="0.25">
      <c r="AI78" s="31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31"/>
      <c r="AY78" s="31"/>
      <c r="AZ78" s="31"/>
      <c r="BA78" s="31"/>
      <c r="BB78" s="31"/>
      <c r="BC78" s="31"/>
      <c r="BD78" s="31"/>
      <c r="BE78" s="31"/>
    </row>
    <row r="79" spans="5:57" x14ac:dyDescent="0.25">
      <c r="AI79" s="31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31"/>
      <c r="AY79" s="31"/>
      <c r="AZ79" s="31"/>
      <c r="BA79" s="31"/>
      <c r="BB79" s="31"/>
      <c r="BC79" s="31"/>
      <c r="BD79" s="31"/>
      <c r="BE79" s="31"/>
    </row>
    <row r="80" spans="5:57" x14ac:dyDescent="0.25">
      <c r="AI80" s="31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1"/>
      <c r="AY80" s="31"/>
      <c r="AZ80" s="31"/>
      <c r="BA80" s="31"/>
      <c r="BB80" s="31"/>
      <c r="BC80" s="31"/>
      <c r="BD80" s="31"/>
      <c r="BE80" s="31"/>
    </row>
    <row r="81" spans="35:57" x14ac:dyDescent="0.25">
      <c r="AI81" s="31"/>
      <c r="AJ81" s="31"/>
      <c r="AK81" s="31"/>
      <c r="AL81" s="31"/>
      <c r="AM81" s="31"/>
      <c r="AN81" s="31"/>
      <c r="AO81" s="33"/>
      <c r="AP81" s="31"/>
      <c r="AQ81" s="31"/>
      <c r="AR81" s="34"/>
      <c r="AS81" s="31"/>
      <c r="AT81" s="33"/>
      <c r="AU81" s="31"/>
      <c r="AV81" s="31"/>
      <c r="AW81" s="33"/>
      <c r="AX81" s="31"/>
      <c r="AY81" s="31"/>
      <c r="AZ81" s="31"/>
      <c r="BA81" s="31"/>
      <c r="BB81" s="31"/>
      <c r="BC81" s="31"/>
      <c r="BD81" s="31"/>
      <c r="BE81" s="31"/>
    </row>
    <row r="82" spans="35:57" x14ac:dyDescent="0.25">
      <c r="AI82" s="31"/>
      <c r="AJ82" s="31"/>
      <c r="AK82" s="31"/>
      <c r="AL82" s="31"/>
      <c r="AM82" s="31"/>
      <c r="AN82" s="31"/>
      <c r="AO82" s="33"/>
      <c r="AP82" s="31"/>
      <c r="AQ82" s="31"/>
      <c r="AR82" s="34"/>
      <c r="AS82" s="33"/>
      <c r="AT82" s="33"/>
      <c r="AU82" s="31"/>
      <c r="AV82" s="33"/>
      <c r="AW82" s="33"/>
      <c r="AX82" s="31"/>
      <c r="AY82" s="31"/>
      <c r="AZ82" s="31"/>
      <c r="BA82" s="31"/>
      <c r="BB82" s="31"/>
      <c r="BC82" s="31"/>
      <c r="BD82" s="31"/>
      <c r="BE82" s="31"/>
    </row>
    <row r="83" spans="35:57" x14ac:dyDescent="0.25">
      <c r="AI83" s="31"/>
      <c r="AJ83" s="31"/>
      <c r="AK83" s="31"/>
      <c r="AL83" s="31"/>
      <c r="AM83" s="31"/>
      <c r="AN83" s="31"/>
      <c r="AO83" s="33"/>
      <c r="AP83" s="31"/>
      <c r="AQ83" s="31"/>
      <c r="AR83" s="31"/>
      <c r="AS83" s="33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</row>
    <row r="84" spans="35:57" x14ac:dyDescent="0.25"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</row>
    <row r="85" spans="35:57" x14ac:dyDescent="0.25"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</row>
    <row r="86" spans="35:57" x14ac:dyDescent="0.25"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</row>
    <row r="87" spans="35:57" x14ac:dyDescent="0.25"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</row>
    <row r="88" spans="35:57" x14ac:dyDescent="0.25"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</row>
    <row r="89" spans="35:57" x14ac:dyDescent="0.25"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</row>
    <row r="90" spans="35:57" x14ac:dyDescent="0.25"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</row>
    <row r="91" spans="35:57" x14ac:dyDescent="0.25"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</row>
    <row r="92" spans="35:57" x14ac:dyDescent="0.25"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</row>
    <row r="93" spans="35:57" x14ac:dyDescent="0.25"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</row>
    <row r="94" spans="35:57" x14ac:dyDescent="0.25"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</row>
    <row r="95" spans="35:57" x14ac:dyDescent="0.25"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</row>
    <row r="96" spans="35:57" x14ac:dyDescent="0.25"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</row>
    <row r="97" spans="35:57" x14ac:dyDescent="0.25"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</row>
    <row r="98" spans="35:57" x14ac:dyDescent="0.25"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</row>
    <row r="99" spans="35:57" x14ac:dyDescent="0.25"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</row>
    <row r="100" spans="35:57" x14ac:dyDescent="0.25"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</row>
    <row r="101" spans="35:57" x14ac:dyDescent="0.25"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</row>
    <row r="102" spans="35:57" x14ac:dyDescent="0.25"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</row>
    <row r="103" spans="35:57" x14ac:dyDescent="0.25"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</row>
  </sheetData>
  <mergeCells count="25">
    <mergeCell ref="I59:M59"/>
    <mergeCell ref="AJ77:AW79"/>
    <mergeCell ref="H19:O19"/>
    <mergeCell ref="I55:M55"/>
    <mergeCell ref="I56:M56"/>
    <mergeCell ref="I61:M61"/>
    <mergeCell ref="I22:O22"/>
    <mergeCell ref="I29:O29"/>
    <mergeCell ref="I36:O36"/>
    <mergeCell ref="G9:O10"/>
    <mergeCell ref="I58:M58"/>
    <mergeCell ref="I43:O43"/>
    <mergeCell ref="H17:N17"/>
    <mergeCell ref="I50:O50"/>
    <mergeCell ref="H53:J53"/>
    <mergeCell ref="I57:J57"/>
    <mergeCell ref="K57:M57"/>
    <mergeCell ref="I64:M64"/>
    <mergeCell ref="I65:M65"/>
    <mergeCell ref="I66:M66"/>
    <mergeCell ref="I60:M60"/>
    <mergeCell ref="I62:J62"/>
    <mergeCell ref="K62:M62"/>
    <mergeCell ref="I63:J63"/>
    <mergeCell ref="K63:M63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Q79"/>
  <sheetViews>
    <sheetView topLeftCell="A5" zoomScaleNormal="100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" bestFit="1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55</v>
      </c>
      <c r="H14" s="9" t="s">
        <v>94</v>
      </c>
      <c r="I14" s="9">
        <v>55000</v>
      </c>
      <c r="J14" s="9">
        <f>I14/30</f>
        <v>1833.3333333333333</v>
      </c>
      <c r="K14" s="9">
        <f>J14/8</f>
        <v>229.16666666666666</v>
      </c>
      <c r="L14" s="9">
        <v>0</v>
      </c>
      <c r="M14" s="9">
        <f>I14-(J14*L14)</f>
        <v>55000</v>
      </c>
      <c r="N14" s="46">
        <f>L50</f>
        <v>0</v>
      </c>
      <c r="O14" s="47">
        <v>426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Ghaffar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6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6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6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6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22" t="s">
        <v>63</v>
      </c>
    </row>
    <row r="37" spans="3:16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6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6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6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6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6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6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6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6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6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6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6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Ghaffar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55000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426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56926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13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13" ht="21" x14ac:dyDescent="0.35">
      <c r="E66" s="2"/>
      <c r="H66" s="40" t="s">
        <v>81</v>
      </c>
      <c r="I66" s="106">
        <f>M14+K57+I58+I59+I60-K62-I64-I65</f>
        <v>56926</v>
      </c>
      <c r="J66" s="107"/>
      <c r="K66" s="107"/>
      <c r="L66" s="107"/>
      <c r="M66" s="107"/>
    </row>
    <row r="77" spans="5:13" ht="15" customHeight="1" x14ac:dyDescent="0.25"/>
    <row r="78" spans="5:13" ht="15" customHeight="1" x14ac:dyDescent="0.25"/>
    <row r="79" spans="5:13" ht="15.75" customHeight="1" x14ac:dyDescent="0.25"/>
  </sheetData>
  <mergeCells count="24">
    <mergeCell ref="G9:O10"/>
    <mergeCell ref="I58:M58"/>
    <mergeCell ref="I55:M55"/>
    <mergeCell ref="I56:M56"/>
    <mergeCell ref="I22:O22"/>
    <mergeCell ref="I29:O29"/>
    <mergeCell ref="I36:O36"/>
    <mergeCell ref="I43:O43"/>
    <mergeCell ref="H19:O19"/>
    <mergeCell ref="I61:M61"/>
    <mergeCell ref="H17:N17"/>
    <mergeCell ref="I50:O50"/>
    <mergeCell ref="H53:J53"/>
    <mergeCell ref="I57:J57"/>
    <mergeCell ref="K57:M57"/>
    <mergeCell ref="I59:M59"/>
    <mergeCell ref="I64:M64"/>
    <mergeCell ref="I65:M65"/>
    <mergeCell ref="I66:M66"/>
    <mergeCell ref="I60:M60"/>
    <mergeCell ref="I62:J62"/>
    <mergeCell ref="K62:M62"/>
    <mergeCell ref="I63:J63"/>
    <mergeCell ref="K63:M63"/>
  </mergeCells>
  <pageMargins left="0.23622047244094491" right="0.23622047244094491" top="1.3385826771653544" bottom="0.74803149606299213" header="0.31496062992125984" footer="0.31496062992125984"/>
  <pageSetup paperSize="9" scale="4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Q79"/>
  <sheetViews>
    <sheetView zoomScaleNormal="100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7109375" customWidth="1"/>
    <col min="15" max="15" width="10.28515625" customWidth="1"/>
    <col min="17" max="17" width="10.425781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56</v>
      </c>
      <c r="H14" s="9" t="s">
        <v>80</v>
      </c>
      <c r="I14" s="9">
        <v>33000</v>
      </c>
      <c r="J14" s="9">
        <f>I14/30</f>
        <v>1100</v>
      </c>
      <c r="K14" s="9">
        <f>J14/8</f>
        <v>137.5</v>
      </c>
      <c r="L14" s="9">
        <v>6</v>
      </c>
      <c r="M14" s="9">
        <f>I14-(J14*L14)</f>
        <v>26400</v>
      </c>
      <c r="N14" s="46">
        <f>L50</f>
        <v>0</v>
      </c>
      <c r="O14" s="47">
        <v>2852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Adnan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36" t="s">
        <v>63</v>
      </c>
      <c r="Q36" s="35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Adnan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33000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2852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37352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6</v>
      </c>
      <c r="J63" s="118"/>
      <c r="K63" s="117">
        <f>L14*J14</f>
        <v>6600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13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13" ht="21" x14ac:dyDescent="0.35">
      <c r="E66" s="2"/>
      <c r="H66" s="40" t="s">
        <v>81</v>
      </c>
      <c r="I66" s="106">
        <f>M14+K57+I58+I59+I60-K62-I64-I65</f>
        <v>30752</v>
      </c>
      <c r="J66" s="107"/>
      <c r="K66" s="107"/>
      <c r="L66" s="107"/>
      <c r="M66" s="107"/>
    </row>
    <row r="77" spans="5:13" ht="15" customHeight="1" x14ac:dyDescent="0.25"/>
    <row r="78" spans="5:13" ht="15" customHeight="1" x14ac:dyDescent="0.25"/>
    <row r="79" spans="5:13" ht="15.75" customHeight="1" x14ac:dyDescent="0.25"/>
  </sheetData>
  <mergeCells count="24">
    <mergeCell ref="G9:O10"/>
    <mergeCell ref="I58:M58"/>
    <mergeCell ref="I55:M55"/>
    <mergeCell ref="I56:M56"/>
    <mergeCell ref="I22:O22"/>
    <mergeCell ref="I29:O29"/>
    <mergeCell ref="I36:O36"/>
    <mergeCell ref="I43:O43"/>
    <mergeCell ref="H19:O19"/>
    <mergeCell ref="I61:M61"/>
    <mergeCell ref="H17:N17"/>
    <mergeCell ref="I50:O50"/>
    <mergeCell ref="H53:J53"/>
    <mergeCell ref="I57:J57"/>
    <mergeCell ref="K57:M57"/>
    <mergeCell ref="I59:M59"/>
    <mergeCell ref="I64:M64"/>
    <mergeCell ref="I65:M65"/>
    <mergeCell ref="I66:M66"/>
    <mergeCell ref="I60:M60"/>
    <mergeCell ref="I62:J62"/>
    <mergeCell ref="K62:M62"/>
    <mergeCell ref="I63:J63"/>
    <mergeCell ref="K63:M63"/>
  </mergeCells>
  <pageMargins left="0" right="0" top="1.3385826771653544" bottom="0.74803149606299213" header="0.31496062992125984" footer="0.31496062992125984"/>
  <pageSetup paperSize="9" scale="4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8" zoomScaleNormal="100" workbookViewId="0">
      <selection activeCell="E15" sqref="E15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.42578125" customWidth="1"/>
    <col min="15" max="15" width="11.5703125" customWidth="1"/>
    <col min="17" max="17" width="11.28515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102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21" x14ac:dyDescent="0.25">
      <c r="D14" s="1"/>
      <c r="E14" s="1"/>
      <c r="F14" s="1"/>
      <c r="G14" s="9" t="s">
        <v>111</v>
      </c>
      <c r="H14" s="9" t="s">
        <v>96</v>
      </c>
      <c r="I14" s="9">
        <v>55000</v>
      </c>
      <c r="J14" s="9">
        <f>I14/30</f>
        <v>1833.3333333333333</v>
      </c>
      <c r="K14" s="9">
        <f>J14/8</f>
        <v>229.16666666666666</v>
      </c>
      <c r="L14" s="9">
        <v>4</v>
      </c>
      <c r="M14" s="9">
        <f>I14-(J14*L14)</f>
        <v>47666.666666666664</v>
      </c>
      <c r="N14" s="46">
        <f>L50</f>
        <v>0</v>
      </c>
      <c r="O14" s="47">
        <v>4551</v>
      </c>
      <c r="P14" s="59">
        <f>O50</f>
        <v>0</v>
      </c>
      <c r="Q14" s="60">
        <v>1565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Najmi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Najmi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55000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4551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61051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1565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4</v>
      </c>
      <c r="J63" s="118"/>
      <c r="K63" s="117">
        <f>L14*J14</f>
        <v>7333.333333333333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52152.666666666664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I43:O43"/>
    <mergeCell ref="H17:N17"/>
    <mergeCell ref="I50:O50"/>
    <mergeCell ref="H53:J53"/>
    <mergeCell ref="G9:O10"/>
    <mergeCell ref="H19:O19"/>
    <mergeCell ref="I22:O22"/>
    <mergeCell ref="I29:O29"/>
    <mergeCell ref="I36:O36"/>
    <mergeCell ref="AJ77:AW79"/>
    <mergeCell ref="I55:M55"/>
    <mergeCell ref="I56:M56"/>
    <mergeCell ref="I58:M58"/>
    <mergeCell ref="I61:M61"/>
    <mergeCell ref="I57:J57"/>
    <mergeCell ref="K57:M57"/>
    <mergeCell ref="I59:M59"/>
    <mergeCell ref="I60:M60"/>
    <mergeCell ref="I65:M65"/>
    <mergeCell ref="I66:M66"/>
    <mergeCell ref="I62:J62"/>
    <mergeCell ref="K62:M62"/>
    <mergeCell ref="I63:J63"/>
    <mergeCell ref="K63:M63"/>
    <mergeCell ref="I64:M64"/>
  </mergeCells>
  <pageMargins left="0" right="0" top="1.3779527559055118" bottom="0.15748031496062992" header="0.31496062992125984" footer="0.31496062992125984"/>
  <pageSetup paperSize="9" scale="1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10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21" x14ac:dyDescent="0.25">
      <c r="D14" s="1"/>
      <c r="E14" s="1"/>
      <c r="F14" s="1"/>
      <c r="G14" s="9" t="s">
        <v>101</v>
      </c>
      <c r="H14" s="9" t="s">
        <v>96</v>
      </c>
      <c r="I14" s="9">
        <v>60000</v>
      </c>
      <c r="J14" s="9">
        <f>I14/30</f>
        <v>2000</v>
      </c>
      <c r="K14" s="9">
        <f>J14/8</f>
        <v>250</v>
      </c>
      <c r="L14" s="9">
        <v>2</v>
      </c>
      <c r="M14" s="9">
        <f>I14-(J14*L14)</f>
        <v>56000</v>
      </c>
      <c r="N14" s="46">
        <f>L50</f>
        <v>0</v>
      </c>
      <c r="O14" s="47">
        <v>0</v>
      </c>
      <c r="P14" s="59">
        <f>O50</f>
        <v>0</v>
      </c>
      <c r="Q14" s="60">
        <v>2185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 xml:space="preserve">Irfan Bhai 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 xml:space="preserve">Irfan Bhai 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60000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61500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2185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2</v>
      </c>
      <c r="J63" s="118"/>
      <c r="K63" s="117">
        <f>L14*J14</f>
        <v>4000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55315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I43:O43"/>
    <mergeCell ref="H17:N17"/>
    <mergeCell ref="I50:O50"/>
    <mergeCell ref="H53:J53"/>
    <mergeCell ref="G9:O10"/>
    <mergeCell ref="H19:O19"/>
    <mergeCell ref="I22:O22"/>
    <mergeCell ref="I29:O29"/>
    <mergeCell ref="I36:O36"/>
    <mergeCell ref="AJ77:AW79"/>
    <mergeCell ref="I55:M55"/>
    <mergeCell ref="I56:M56"/>
    <mergeCell ref="I58:M58"/>
    <mergeCell ref="I61:M61"/>
    <mergeCell ref="I57:J57"/>
    <mergeCell ref="K57:M57"/>
    <mergeCell ref="I59:M59"/>
    <mergeCell ref="I60:M60"/>
    <mergeCell ref="I65:M65"/>
    <mergeCell ref="I66:M66"/>
    <mergeCell ref="I62:J62"/>
    <mergeCell ref="K62:M62"/>
    <mergeCell ref="I63:J63"/>
    <mergeCell ref="K63:M63"/>
    <mergeCell ref="I64:M64"/>
  </mergeCells>
  <pageMargins left="0.23622047244094488" right="0.23622047244094488" top="1.3385826771653544" bottom="0.74803149606299213" header="0.31496062992125984" footer="0.31496062992125984"/>
  <pageSetup paperSize="9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Q79"/>
  <sheetViews>
    <sheetView tabSelected="1" topLeftCell="A7" zoomScale="96" zoomScaleNormal="96" workbookViewId="0">
      <selection activeCell="H32" sqref="H32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5703125" bestFit="1" customWidth="1"/>
    <col min="9" max="9" width="13" bestFit="1" customWidth="1"/>
    <col min="10" max="10" width="10.85546875" bestFit="1" customWidth="1"/>
    <col min="11" max="11" width="11.42578125" customWidth="1"/>
    <col min="12" max="13" width="13.140625" bestFit="1" customWidth="1"/>
    <col min="14" max="14" width="10.85546875" customWidth="1"/>
    <col min="15" max="15" width="10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42</v>
      </c>
      <c r="H14" s="9" t="s">
        <v>95</v>
      </c>
      <c r="I14" s="9">
        <v>22000</v>
      </c>
      <c r="J14" s="9">
        <f>I14/30</f>
        <v>733.33333333333337</v>
      </c>
      <c r="K14" s="9">
        <f>J14/8</f>
        <v>91.666666666666671</v>
      </c>
      <c r="L14" s="9">
        <v>6</v>
      </c>
      <c r="M14" s="9">
        <f>I14-(J14*L14)</f>
        <v>17600</v>
      </c>
      <c r="N14" s="46">
        <v>0</v>
      </c>
      <c r="O14" s="47">
        <v>0</v>
      </c>
      <c r="P14" s="37">
        <f>O50</f>
        <v>0</v>
      </c>
      <c r="Q14" s="2">
        <v>420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Ahmed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Ahmed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22000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23500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420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6</v>
      </c>
      <c r="J63" s="118"/>
      <c r="K63" s="117">
        <f>L14*J14</f>
        <v>4400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13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13" ht="21" x14ac:dyDescent="0.35">
      <c r="E66" s="2"/>
      <c r="H66" s="40" t="s">
        <v>81</v>
      </c>
      <c r="I66" s="106">
        <f>M14+K57+I58+I59+I60-K62-I64-I65</f>
        <v>18680</v>
      </c>
      <c r="J66" s="107"/>
      <c r="K66" s="107"/>
      <c r="L66" s="107"/>
      <c r="M66" s="107"/>
    </row>
    <row r="77" spans="5:13" ht="15" customHeight="1" x14ac:dyDescent="0.25"/>
    <row r="78" spans="5:13" ht="15" customHeight="1" x14ac:dyDescent="0.25"/>
    <row r="79" spans="5:13" ht="15.75" customHeight="1" x14ac:dyDescent="0.25"/>
  </sheetData>
  <mergeCells count="24">
    <mergeCell ref="K63:M63"/>
    <mergeCell ref="G9:O10"/>
    <mergeCell ref="I56:M56"/>
    <mergeCell ref="I58:M58"/>
    <mergeCell ref="H19:O19"/>
    <mergeCell ref="I22:O22"/>
    <mergeCell ref="I29:O29"/>
    <mergeCell ref="I36:O36"/>
    <mergeCell ref="I64:M64"/>
    <mergeCell ref="I65:M65"/>
    <mergeCell ref="I66:M66"/>
    <mergeCell ref="H17:N17"/>
    <mergeCell ref="I50:O50"/>
    <mergeCell ref="H53:J53"/>
    <mergeCell ref="I57:J57"/>
    <mergeCell ref="K57:M57"/>
    <mergeCell ref="I43:O43"/>
    <mergeCell ref="I55:M55"/>
    <mergeCell ref="I61:M61"/>
    <mergeCell ref="I59:M59"/>
    <mergeCell ref="I60:M60"/>
    <mergeCell ref="I62:J62"/>
    <mergeCell ref="K62:M62"/>
    <mergeCell ref="I63:J63"/>
  </mergeCells>
  <pageMargins left="0" right="0" top="1.3385826771653544" bottom="0.74803149606299213" header="0.31496062992125984" footer="0.31496062992125984"/>
  <pageSetup paperSize="9" scale="5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R79"/>
  <sheetViews>
    <sheetView topLeftCell="A6" zoomScale="96" zoomScaleNormal="96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5703125" bestFit="1" customWidth="1"/>
    <col min="9" max="9" width="16.85546875" customWidth="1"/>
    <col min="10" max="10" width="17.85546875" customWidth="1"/>
    <col min="11" max="12" width="11.42578125" customWidth="1"/>
    <col min="13" max="14" width="13.140625" bestFit="1" customWidth="1"/>
    <col min="15" max="15" width="10" bestFit="1" customWidth="1"/>
    <col min="26" max="26" width="13" bestFit="1" customWidth="1"/>
    <col min="27" max="27" width="11.5703125" bestFit="1" customWidth="1"/>
    <col min="28" max="28" width="13" bestFit="1" customWidth="1"/>
    <col min="29" max="29" width="17.7109375" bestFit="1" customWidth="1"/>
  </cols>
  <sheetData>
    <row r="1" spans="3:18" x14ac:dyDescent="0.25">
      <c r="K1">
        <v>1.5</v>
      </c>
    </row>
    <row r="5" spans="3:18" ht="15" customHeight="1" x14ac:dyDescent="0.25">
      <c r="C5" s="35"/>
      <c r="D5" s="45"/>
      <c r="E5" s="45"/>
      <c r="F5" s="45"/>
      <c r="P5" s="45"/>
      <c r="Q5" s="45"/>
    </row>
    <row r="6" spans="3:18" ht="15" customHeight="1" x14ac:dyDescent="0.25">
      <c r="C6" s="35"/>
      <c r="D6" s="45"/>
      <c r="E6" s="45"/>
      <c r="F6" s="45"/>
      <c r="P6" s="45"/>
      <c r="Q6" s="45"/>
    </row>
    <row r="7" spans="3:18" x14ac:dyDescent="0.25">
      <c r="D7" s="1"/>
      <c r="E7" s="1"/>
      <c r="F7" s="1"/>
      <c r="P7" s="1"/>
      <c r="Q7" s="1"/>
    </row>
    <row r="8" spans="3:18" x14ac:dyDescent="0.25">
      <c r="D8" s="1"/>
      <c r="E8" s="1"/>
      <c r="P8" s="1"/>
      <c r="Q8" s="1"/>
    </row>
    <row r="9" spans="3:18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8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8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8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8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8" ht="18.75" x14ac:dyDescent="0.25">
      <c r="D14" s="1"/>
      <c r="E14" s="1"/>
      <c r="F14" s="1"/>
      <c r="G14" s="9" t="s">
        <v>1</v>
      </c>
      <c r="H14" s="9" t="s">
        <v>98</v>
      </c>
      <c r="I14" s="9">
        <v>22000</v>
      </c>
      <c r="J14" s="9">
        <f>I14/30</f>
        <v>733.33333333333337</v>
      </c>
      <c r="K14" s="9">
        <f>J14/8</f>
        <v>91.666666666666671</v>
      </c>
      <c r="L14" s="9">
        <v>4</v>
      </c>
      <c r="M14" s="9">
        <f>I14-(J14*L14)</f>
        <v>19066.666666666668</v>
      </c>
      <c r="N14" s="46">
        <f>L50</f>
        <v>0</v>
      </c>
      <c r="O14" s="47">
        <v>2359.5</v>
      </c>
      <c r="P14" s="37">
        <f>O50</f>
        <v>0</v>
      </c>
      <c r="Q14" s="2">
        <v>733.33600000000001</v>
      </c>
    </row>
    <row r="15" spans="3:18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3:18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4:18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  <c r="R17" s="1"/>
    </row>
    <row r="18" spans="4:18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4:18" ht="22.5" customHeight="1" x14ac:dyDescent="0.25">
      <c r="D19" s="1"/>
      <c r="E19" s="1"/>
      <c r="F19" s="1"/>
      <c r="G19" s="9" t="str">
        <f>G12</f>
        <v>Name</v>
      </c>
      <c r="H19" s="123" t="str">
        <f>G14</f>
        <v>Ali</v>
      </c>
      <c r="I19" s="124"/>
      <c r="J19" s="124"/>
      <c r="K19" s="124"/>
      <c r="L19" s="124"/>
      <c r="M19" s="124"/>
      <c r="N19" s="124"/>
      <c r="O19" s="125"/>
      <c r="Q19" s="1"/>
      <c r="R19" s="1"/>
    </row>
    <row r="20" spans="4:18" ht="37.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8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8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8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8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8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8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8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8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8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8" ht="19.5" customHeight="1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8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8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Ali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22000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2359.5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25859.5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733.33600000000001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4</v>
      </c>
      <c r="J63" s="118"/>
      <c r="K63" s="117">
        <f>L14*J14</f>
        <v>2933.3333333333335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13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13" ht="21" x14ac:dyDescent="0.35">
      <c r="E66" s="2"/>
      <c r="H66" s="40" t="s">
        <v>81</v>
      </c>
      <c r="I66" s="106">
        <f>M14+K57+I58+I59+I60-K62-I64-I65</f>
        <v>22192.830666666669</v>
      </c>
      <c r="J66" s="107"/>
      <c r="K66" s="107"/>
      <c r="L66" s="107"/>
      <c r="M66" s="107"/>
    </row>
    <row r="77" spans="5:13" ht="15" customHeight="1" x14ac:dyDescent="0.25"/>
    <row r="78" spans="5:13" ht="15" customHeight="1" x14ac:dyDescent="0.25"/>
    <row r="79" spans="5:13" ht="15.75" customHeight="1" x14ac:dyDescent="0.25"/>
  </sheetData>
  <mergeCells count="24">
    <mergeCell ref="I62:J62"/>
    <mergeCell ref="K62:M62"/>
    <mergeCell ref="G9:O10"/>
    <mergeCell ref="I56:M56"/>
    <mergeCell ref="I58:M58"/>
    <mergeCell ref="I55:M55"/>
    <mergeCell ref="I22:O22"/>
    <mergeCell ref="I29:O29"/>
    <mergeCell ref="I36:O36"/>
    <mergeCell ref="I43:O43"/>
    <mergeCell ref="H17:N17"/>
    <mergeCell ref="H19:O19"/>
    <mergeCell ref="I61:M61"/>
    <mergeCell ref="I50:O50"/>
    <mergeCell ref="H53:J53"/>
    <mergeCell ref="I57:J57"/>
    <mergeCell ref="K57:M57"/>
    <mergeCell ref="I59:M59"/>
    <mergeCell ref="I60:M60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4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9" workbookViewId="0">
      <selection activeCell="A17" sqref="A17:O66"/>
    </sheetView>
  </sheetViews>
  <sheetFormatPr defaultRowHeight="15" x14ac:dyDescent="0.25"/>
  <cols>
    <col min="4" max="4" width="10.425781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5" width="10.28515625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91</v>
      </c>
      <c r="H14" s="9" t="s">
        <v>96</v>
      </c>
      <c r="I14" s="9">
        <v>38000</v>
      </c>
      <c r="J14" s="9">
        <f>I14/30</f>
        <v>1266.6666666666667</v>
      </c>
      <c r="K14" s="9">
        <f>J14/8</f>
        <v>158.33333333333334</v>
      </c>
      <c r="L14" s="9">
        <v>0</v>
      </c>
      <c r="M14" s="9">
        <f>I14-(J14*L14)</f>
        <v>38000</v>
      </c>
      <c r="N14" s="46">
        <f>L50</f>
        <v>0</v>
      </c>
      <c r="O14" s="47">
        <v>0</v>
      </c>
      <c r="P14" s="2">
        <f>O50</f>
        <v>0</v>
      </c>
      <c r="Q14" s="2">
        <v>1280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Amir haleem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Amir haleem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38000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39500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1280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38220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53:J53"/>
    <mergeCell ref="I57:J57"/>
    <mergeCell ref="K57:M57"/>
    <mergeCell ref="I59:M59"/>
    <mergeCell ref="AJ77:AW79"/>
    <mergeCell ref="I55:M55"/>
    <mergeCell ref="I56:M56"/>
    <mergeCell ref="I58:M58"/>
    <mergeCell ref="I61:M61"/>
    <mergeCell ref="G9:O10"/>
    <mergeCell ref="I36:O36"/>
    <mergeCell ref="I43:O43"/>
    <mergeCell ref="H17:N17"/>
    <mergeCell ref="I50:O50"/>
    <mergeCell ref="H19:O19"/>
    <mergeCell ref="I22:O22"/>
    <mergeCell ref="I29:O29"/>
    <mergeCell ref="I64:M64"/>
    <mergeCell ref="I65:M65"/>
    <mergeCell ref="I66:M66"/>
    <mergeCell ref="I60:M60"/>
    <mergeCell ref="I62:J62"/>
    <mergeCell ref="K62:M62"/>
    <mergeCell ref="I63:J63"/>
    <mergeCell ref="K63:M63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Q79"/>
  <sheetViews>
    <sheetView zoomScale="98" zoomScaleNormal="98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9.855468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87</v>
      </c>
      <c r="H14" s="9" t="s">
        <v>97</v>
      </c>
      <c r="I14" s="9">
        <v>35000</v>
      </c>
      <c r="J14" s="9">
        <f>I14/30</f>
        <v>1166.6666666666667</v>
      </c>
      <c r="K14" s="9">
        <f>J14/8</f>
        <v>145.83333333333334</v>
      </c>
      <c r="L14" s="9">
        <v>6</v>
      </c>
      <c r="M14" s="9">
        <f>I14-(J14*L14)</f>
        <v>28000</v>
      </c>
      <c r="N14" s="46">
        <v>1.1499999999999999</v>
      </c>
      <c r="O14" s="47">
        <v>271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Imran loader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Imran loader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35000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271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36771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6</v>
      </c>
      <c r="J63" s="118"/>
      <c r="K63" s="117">
        <f>L14*J14</f>
        <v>7000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13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13" ht="21" x14ac:dyDescent="0.35">
      <c r="E66" s="2"/>
      <c r="H66" s="40" t="s">
        <v>81</v>
      </c>
      <c r="I66" s="106">
        <f>M14+K57+I58+I59+I60-K62-I64-I65</f>
        <v>29771</v>
      </c>
      <c r="J66" s="107"/>
      <c r="K66" s="107"/>
      <c r="L66" s="107"/>
      <c r="M66" s="107"/>
    </row>
    <row r="77" spans="5:13" ht="15" customHeight="1" x14ac:dyDescent="0.25"/>
    <row r="78" spans="5:13" ht="15" customHeight="1" x14ac:dyDescent="0.25"/>
    <row r="79" spans="5:13" ht="15.75" customHeight="1" x14ac:dyDescent="0.25"/>
  </sheetData>
  <mergeCells count="24">
    <mergeCell ref="G9:O10"/>
    <mergeCell ref="I22:O22"/>
    <mergeCell ref="I29:O29"/>
    <mergeCell ref="I36:O36"/>
    <mergeCell ref="I43:O43"/>
    <mergeCell ref="H19:O19"/>
    <mergeCell ref="H17:N17"/>
    <mergeCell ref="I50:O50"/>
    <mergeCell ref="H53:J53"/>
    <mergeCell ref="I57:J57"/>
    <mergeCell ref="K57:M57"/>
    <mergeCell ref="I64:M64"/>
    <mergeCell ref="I65:M65"/>
    <mergeCell ref="I66:M66"/>
    <mergeCell ref="I55:M55"/>
    <mergeCell ref="I56:M56"/>
    <mergeCell ref="I58:M58"/>
    <mergeCell ref="I61:M61"/>
    <mergeCell ref="I59:M59"/>
    <mergeCell ref="I60:M60"/>
    <mergeCell ref="I62:J62"/>
    <mergeCell ref="K62:M62"/>
    <mergeCell ref="I63:J63"/>
    <mergeCell ref="K63:M63"/>
  </mergeCells>
  <pageMargins left="0" right="0" top="1.3385826771653544" bottom="0.74803149606299213" header="0.31496062992125984" footer="0.31496062992125984"/>
  <pageSetup paperSize="9" scale="4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Q79"/>
  <sheetViews>
    <sheetView topLeftCell="A9" zoomScale="95" zoomScaleNormal="95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.28515625" customWidth="1"/>
    <col min="17" max="17" width="9.855468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41</v>
      </c>
      <c r="H14" s="9" t="s">
        <v>80</v>
      </c>
      <c r="I14" s="9">
        <v>24000</v>
      </c>
      <c r="J14" s="9">
        <f>I14/30</f>
        <v>800</v>
      </c>
      <c r="K14" s="9">
        <f>J14/8</f>
        <v>100</v>
      </c>
      <c r="L14" s="9">
        <v>0</v>
      </c>
      <c r="M14" s="9">
        <f>I14-(J14*L14)</f>
        <v>24000</v>
      </c>
      <c r="N14" s="46">
        <f>L50</f>
        <v>0</v>
      </c>
      <c r="O14" s="47">
        <v>500</v>
      </c>
      <c r="P14" s="37">
        <f>O50</f>
        <v>0</v>
      </c>
      <c r="Q14" s="2">
        <v>841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Mazhar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Mazhar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24000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500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26000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841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13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13" ht="21" x14ac:dyDescent="0.35">
      <c r="E66" s="2"/>
      <c r="H66" s="40" t="s">
        <v>81</v>
      </c>
      <c r="I66" s="106">
        <f>M14+K57+I58+I59+I60-K62-I64-I65</f>
        <v>25159</v>
      </c>
      <c r="J66" s="107"/>
      <c r="K66" s="107"/>
      <c r="L66" s="107"/>
      <c r="M66" s="107"/>
    </row>
    <row r="77" spans="5:13" ht="15" customHeight="1" x14ac:dyDescent="0.25"/>
    <row r="78" spans="5:13" ht="15" customHeight="1" x14ac:dyDescent="0.25"/>
    <row r="79" spans="5:13" ht="15.75" customHeight="1" x14ac:dyDescent="0.25"/>
  </sheetData>
  <mergeCells count="24">
    <mergeCell ref="G9:O10"/>
    <mergeCell ref="I58:M58"/>
    <mergeCell ref="I55:M55"/>
    <mergeCell ref="I56:M56"/>
    <mergeCell ref="I22:O22"/>
    <mergeCell ref="I29:O29"/>
    <mergeCell ref="I36:O36"/>
    <mergeCell ref="I43:O43"/>
    <mergeCell ref="H19:O19"/>
    <mergeCell ref="I61:M61"/>
    <mergeCell ref="H17:N17"/>
    <mergeCell ref="I50:O50"/>
    <mergeCell ref="H53:J53"/>
    <mergeCell ref="I57:J57"/>
    <mergeCell ref="K57:M57"/>
    <mergeCell ref="I59:M59"/>
    <mergeCell ref="I64:M64"/>
    <mergeCell ref="I65:M65"/>
    <mergeCell ref="I66:M66"/>
    <mergeCell ref="I60:M60"/>
    <mergeCell ref="I62:J62"/>
    <mergeCell ref="K62:M62"/>
    <mergeCell ref="I63:J63"/>
    <mergeCell ref="K63:M63"/>
  </mergeCells>
  <pageMargins left="0" right="0" top="1.3385826771653544" bottom="0.74803149606299213" header="0.31496062992125984" footer="0.31496062992125984"/>
  <pageSetup paperSize="9" scale="47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R79"/>
  <sheetViews>
    <sheetView topLeftCell="A6" zoomScale="96" zoomScaleNormal="96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5703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.140625" customWidth="1"/>
    <col min="15" max="15" width="10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35</v>
      </c>
      <c r="H14" s="9" t="s">
        <v>80</v>
      </c>
      <c r="I14" s="9">
        <v>43000</v>
      </c>
      <c r="J14" s="9">
        <f>I14/30</f>
        <v>1433.3333333333333</v>
      </c>
      <c r="K14" s="9">
        <f>J14/8</f>
        <v>179.16666666666666</v>
      </c>
      <c r="L14" s="9">
        <v>3</v>
      </c>
      <c r="M14" s="9">
        <f>I14-(J14*L14)</f>
        <v>38700</v>
      </c>
      <c r="N14" s="46">
        <f>L50</f>
        <v>0</v>
      </c>
      <c r="O14" s="47">
        <v>291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Hamid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Hamid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43000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291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44791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3</v>
      </c>
      <c r="J63" s="118"/>
      <c r="K63" s="117">
        <f>L14*J14</f>
        <v>4300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4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  <c r="AN65" s="4"/>
      <c r="AR65" s="4"/>
    </row>
    <row r="66" spans="5:44" ht="21" x14ac:dyDescent="0.35">
      <c r="E66" s="2"/>
      <c r="H66" s="40" t="s">
        <v>81</v>
      </c>
      <c r="I66" s="106">
        <f>M14+K57+I58+I59+I60-K62-I64-I65</f>
        <v>40491</v>
      </c>
      <c r="J66" s="107"/>
      <c r="K66" s="107"/>
      <c r="L66" s="107"/>
      <c r="M66" s="107"/>
    </row>
    <row r="77" spans="5:44" ht="15" customHeight="1" x14ac:dyDescent="0.25"/>
    <row r="78" spans="5:44" ht="15" customHeight="1" x14ac:dyDescent="0.25"/>
    <row r="79" spans="5:44" ht="15.75" customHeight="1" x14ac:dyDescent="0.25"/>
  </sheetData>
  <mergeCells count="24">
    <mergeCell ref="H17:N17"/>
    <mergeCell ref="I50:O50"/>
    <mergeCell ref="G9:O10"/>
    <mergeCell ref="I58:M58"/>
    <mergeCell ref="I55:M55"/>
    <mergeCell ref="I56:M56"/>
    <mergeCell ref="H53:J53"/>
    <mergeCell ref="I57:J57"/>
    <mergeCell ref="K57:M57"/>
    <mergeCell ref="H19:O19"/>
    <mergeCell ref="I61:M61"/>
    <mergeCell ref="I43:O43"/>
    <mergeCell ref="I36:O36"/>
    <mergeCell ref="I29:O29"/>
    <mergeCell ref="I22:O22"/>
    <mergeCell ref="I64:M64"/>
    <mergeCell ref="I65:M65"/>
    <mergeCell ref="I66:M66"/>
    <mergeCell ref="I59:M59"/>
    <mergeCell ref="I60:M60"/>
    <mergeCell ref="I62:J62"/>
    <mergeCell ref="K62:M62"/>
    <mergeCell ref="I63:J63"/>
    <mergeCell ref="K63:M63"/>
  </mergeCells>
  <pageMargins left="0" right="0" top="1.3385826771653544" bottom="0.74803149606299213" header="0.31496062992125984" footer="0.31496062992125984"/>
  <pageSetup paperSize="9" scale="4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Z91"/>
  <sheetViews>
    <sheetView topLeftCell="A13" workbookViewId="0">
      <selection activeCell="A17" sqref="A17:O66"/>
    </sheetView>
  </sheetViews>
  <sheetFormatPr defaultRowHeight="15" x14ac:dyDescent="0.25"/>
  <cols>
    <col min="4" max="4" width="11.1406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5" width="10.28515625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59</v>
      </c>
      <c r="H14" s="9" t="s">
        <v>80</v>
      </c>
      <c r="I14" s="9">
        <v>22000</v>
      </c>
      <c r="J14" s="9">
        <f>I14/30</f>
        <v>733.33333333333337</v>
      </c>
      <c r="K14" s="9">
        <f>J14/8</f>
        <v>91.666666666666671</v>
      </c>
      <c r="L14" s="9">
        <v>1</v>
      </c>
      <c r="M14" s="9">
        <f>I14-(J14*L14)</f>
        <v>21266.666666666668</v>
      </c>
      <c r="N14" s="46">
        <f>L50</f>
        <v>0</v>
      </c>
      <c r="O14" s="47">
        <v>606</v>
      </c>
      <c r="P14" s="2">
        <f>O50</f>
        <v>0</v>
      </c>
      <c r="Q14" s="2">
        <v>725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Hassan raza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Hassan raza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22000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606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24106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725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1</v>
      </c>
      <c r="J63" s="118"/>
      <c r="K63" s="117">
        <f>L14*J14</f>
        <v>733.33333333333337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52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52" ht="21" x14ac:dyDescent="0.35">
      <c r="E66" s="2"/>
      <c r="H66" s="40" t="s">
        <v>81</v>
      </c>
      <c r="I66" s="106">
        <f>M14+K57+I58+I59+I60-K62-I64-I65</f>
        <v>22647.666666666668</v>
      </c>
      <c r="J66" s="107"/>
      <c r="K66" s="107"/>
      <c r="L66" s="107"/>
      <c r="M66" s="107"/>
    </row>
    <row r="75" spans="5:52" x14ac:dyDescent="0.25"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</row>
    <row r="76" spans="5:52" x14ac:dyDescent="0.25"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</row>
    <row r="77" spans="5:52" x14ac:dyDescent="0.25">
      <c r="AH77" s="31"/>
      <c r="AI77" s="31"/>
      <c r="AJ77" s="127"/>
      <c r="AK77" s="127"/>
      <c r="AL77" s="127"/>
      <c r="AM77" s="127"/>
      <c r="AN77" s="127"/>
      <c r="AO77" s="127"/>
      <c r="AP77" s="127"/>
      <c r="AQ77" s="127"/>
      <c r="AR77" s="127"/>
      <c r="AS77" s="127"/>
      <c r="AT77" s="127"/>
      <c r="AU77" s="127"/>
      <c r="AV77" s="127"/>
      <c r="AW77" s="127"/>
      <c r="AX77" s="31"/>
      <c r="AY77" s="31"/>
      <c r="AZ77" s="31"/>
    </row>
    <row r="78" spans="5:52" x14ac:dyDescent="0.25">
      <c r="AH78" s="31"/>
      <c r="AI78" s="31"/>
      <c r="AJ78" s="127"/>
      <c r="AK78" s="127"/>
      <c r="AL78" s="127"/>
      <c r="AM78" s="127"/>
      <c r="AN78" s="127"/>
      <c r="AO78" s="127"/>
      <c r="AP78" s="127"/>
      <c r="AQ78" s="127"/>
      <c r="AR78" s="127"/>
      <c r="AS78" s="127"/>
      <c r="AT78" s="127"/>
      <c r="AU78" s="127"/>
      <c r="AV78" s="127"/>
      <c r="AW78" s="127"/>
      <c r="AX78" s="31"/>
      <c r="AY78" s="31"/>
      <c r="AZ78" s="31"/>
    </row>
    <row r="79" spans="5:52" x14ac:dyDescent="0.25">
      <c r="AH79" s="31"/>
      <c r="AI79" s="31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31"/>
      <c r="AY79" s="31"/>
      <c r="AZ79" s="31"/>
    </row>
    <row r="80" spans="5:52" x14ac:dyDescent="0.25">
      <c r="AH80" s="31"/>
      <c r="AI80" s="31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1"/>
      <c r="AY80" s="31"/>
      <c r="AZ80" s="31"/>
    </row>
    <row r="81" spans="34:52" x14ac:dyDescent="0.25">
      <c r="AH81" s="31"/>
      <c r="AI81" s="31"/>
      <c r="AJ81" s="31"/>
      <c r="AK81" s="31"/>
      <c r="AL81" s="31"/>
      <c r="AM81" s="31"/>
      <c r="AN81" s="31"/>
      <c r="AO81" s="33"/>
      <c r="AP81" s="31"/>
      <c r="AQ81" s="31"/>
      <c r="AR81" s="34"/>
      <c r="AS81" s="31"/>
      <c r="AT81" s="33"/>
      <c r="AU81" s="31"/>
      <c r="AV81" s="31"/>
      <c r="AW81" s="33"/>
      <c r="AX81" s="31"/>
      <c r="AY81" s="31"/>
      <c r="AZ81" s="31"/>
    </row>
    <row r="82" spans="34:52" x14ac:dyDescent="0.25">
      <c r="AH82" s="31"/>
      <c r="AI82" s="31"/>
      <c r="AJ82" s="31"/>
      <c r="AK82" s="31"/>
      <c r="AL82" s="31"/>
      <c r="AM82" s="31"/>
      <c r="AN82" s="31"/>
      <c r="AO82" s="33"/>
      <c r="AP82" s="31"/>
      <c r="AQ82" s="31"/>
      <c r="AR82" s="34"/>
      <c r="AS82" s="33"/>
      <c r="AT82" s="33"/>
      <c r="AU82" s="31"/>
      <c r="AV82" s="33"/>
      <c r="AW82" s="33"/>
      <c r="AX82" s="31"/>
      <c r="AY82" s="31"/>
      <c r="AZ82" s="31"/>
    </row>
    <row r="83" spans="34:52" x14ac:dyDescent="0.25">
      <c r="AH83" s="31"/>
      <c r="AI83" s="31"/>
      <c r="AJ83" s="31"/>
      <c r="AK83" s="31"/>
      <c r="AL83" s="31"/>
      <c r="AM83" s="31"/>
      <c r="AN83" s="31"/>
      <c r="AO83" s="33"/>
      <c r="AP83" s="31"/>
      <c r="AQ83" s="31"/>
      <c r="AR83" s="31"/>
      <c r="AS83" s="33"/>
      <c r="AT83" s="31"/>
      <c r="AU83" s="31"/>
      <c r="AV83" s="31"/>
      <c r="AW83" s="31"/>
      <c r="AX83" s="31"/>
      <c r="AY83" s="31"/>
      <c r="AZ83" s="31"/>
    </row>
    <row r="84" spans="34:52" x14ac:dyDescent="0.25"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</row>
    <row r="85" spans="34:52" x14ac:dyDescent="0.25"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</row>
    <row r="86" spans="34:52" x14ac:dyDescent="0.25"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</row>
    <row r="87" spans="34:52" x14ac:dyDescent="0.25"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</row>
    <row r="88" spans="34:52" x14ac:dyDescent="0.25"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</row>
    <row r="89" spans="34:52" x14ac:dyDescent="0.25"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</row>
    <row r="90" spans="34:52" x14ac:dyDescent="0.25"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</row>
    <row r="91" spans="34:52" x14ac:dyDescent="0.25"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22:O22"/>
    <mergeCell ref="I29:O29"/>
    <mergeCell ref="I36:O36"/>
    <mergeCell ref="I43:O4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7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42578125" customWidth="1"/>
    <col min="15" max="15" width="10.140625" customWidth="1"/>
    <col min="17" max="17" width="9.855468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57</v>
      </c>
      <c r="H14" s="9" t="s">
        <v>94</v>
      </c>
      <c r="I14" s="9">
        <v>48000</v>
      </c>
      <c r="J14" s="9">
        <f>I14/30</f>
        <v>1600</v>
      </c>
      <c r="K14" s="9">
        <f>J14/8</f>
        <v>200</v>
      </c>
      <c r="L14" s="9">
        <v>0</v>
      </c>
      <c r="M14" s="9">
        <f>I14-(J14*L14)</f>
        <v>48000</v>
      </c>
      <c r="N14" s="46">
        <f>L50</f>
        <v>0</v>
      </c>
      <c r="O14" s="47">
        <v>222</v>
      </c>
      <c r="P14" s="2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Ishtiaq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Ishtiaq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48000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222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49722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49722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43:O43"/>
    <mergeCell ref="I36:O36"/>
    <mergeCell ref="I29:O29"/>
    <mergeCell ref="I22:O22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7.14062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.140625" customWidth="1"/>
    <col min="15" max="15" width="10.28515625" customWidth="1"/>
    <col min="17" max="17" width="10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100</v>
      </c>
      <c r="H14" s="9" t="s">
        <v>93</v>
      </c>
      <c r="I14" s="9">
        <v>35000</v>
      </c>
      <c r="J14" s="9">
        <f>I14/30</f>
        <v>1166.6666666666667</v>
      </c>
      <c r="K14" s="9">
        <f>J14/8</f>
        <v>145.83333333333334</v>
      </c>
      <c r="L14" s="9">
        <v>3</v>
      </c>
      <c r="M14" s="9">
        <f>I14-(J14*L14)</f>
        <v>31500</v>
      </c>
      <c r="N14" s="46">
        <f>L50</f>
        <v>0</v>
      </c>
      <c r="O14" s="47">
        <v>6197</v>
      </c>
      <c r="P14" s="2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Sohail Printing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Sohail Printing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35000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6197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42697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3</v>
      </c>
      <c r="J63" s="118"/>
      <c r="K63" s="117">
        <f>L14*J14</f>
        <v>3500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39197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I50:O50"/>
    <mergeCell ref="H53:J53"/>
    <mergeCell ref="G9:O10"/>
    <mergeCell ref="H19:O19"/>
    <mergeCell ref="I43:O43"/>
    <mergeCell ref="I36:O36"/>
    <mergeCell ref="I29:O29"/>
    <mergeCell ref="I22:O22"/>
    <mergeCell ref="H17:N17"/>
    <mergeCell ref="AJ77:AW79"/>
    <mergeCell ref="I55:M55"/>
    <mergeCell ref="I56:M56"/>
    <mergeCell ref="I58:M58"/>
    <mergeCell ref="I61:M61"/>
    <mergeCell ref="I57:J57"/>
    <mergeCell ref="K57:M57"/>
    <mergeCell ref="I59:M59"/>
    <mergeCell ref="I60:M60"/>
    <mergeCell ref="I65:M65"/>
    <mergeCell ref="I66:M66"/>
    <mergeCell ref="I62:J62"/>
    <mergeCell ref="K62:M62"/>
    <mergeCell ref="I63:J63"/>
    <mergeCell ref="K63:M63"/>
    <mergeCell ref="I64:M64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W83"/>
  <sheetViews>
    <sheetView topLeftCell="A3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.140625" customWidth="1"/>
    <col min="15" max="15" width="10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2:17" x14ac:dyDescent="0.25">
      <c r="K1">
        <v>1.5</v>
      </c>
    </row>
    <row r="5" spans="2:17" ht="15" customHeight="1" x14ac:dyDescent="0.25">
      <c r="C5" s="35"/>
      <c r="D5" s="45"/>
      <c r="E5" s="45"/>
      <c r="F5" s="45"/>
      <c r="P5" s="45"/>
      <c r="Q5" s="45"/>
    </row>
    <row r="6" spans="2:17" ht="15" customHeight="1" x14ac:dyDescent="0.25">
      <c r="C6" s="35"/>
      <c r="D6" s="45"/>
      <c r="E6" s="45"/>
      <c r="F6" s="45"/>
      <c r="P6" s="45"/>
      <c r="Q6" s="45"/>
    </row>
    <row r="7" spans="2:17" x14ac:dyDescent="0.25">
      <c r="D7" s="1"/>
      <c r="E7" s="1"/>
      <c r="F7" s="1"/>
      <c r="P7" s="1"/>
      <c r="Q7" s="1"/>
    </row>
    <row r="8" spans="2:17" x14ac:dyDescent="0.25">
      <c r="D8" s="1"/>
      <c r="E8" s="1"/>
      <c r="P8" s="1"/>
      <c r="Q8" s="1"/>
    </row>
    <row r="9" spans="2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2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2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2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2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2:17" ht="18.75" x14ac:dyDescent="0.25">
      <c r="B14" s="88"/>
      <c r="D14" s="1"/>
      <c r="E14" s="1"/>
      <c r="F14" s="1"/>
      <c r="G14" s="9" t="s">
        <v>40</v>
      </c>
      <c r="H14" s="9" t="s">
        <v>98</v>
      </c>
      <c r="I14" s="9">
        <v>36000</v>
      </c>
      <c r="J14" s="9">
        <f>I14/30</f>
        <v>1200</v>
      </c>
      <c r="K14" s="9">
        <f>J14/8</f>
        <v>150</v>
      </c>
      <c r="L14" s="9">
        <v>7</v>
      </c>
      <c r="M14" s="9">
        <f>I14-(J14*L14)</f>
        <v>27600</v>
      </c>
      <c r="N14" s="46">
        <f>L50</f>
        <v>0</v>
      </c>
      <c r="O14" s="47">
        <v>2475</v>
      </c>
      <c r="P14" s="37">
        <f>O50</f>
        <v>0</v>
      </c>
      <c r="Q14" s="2">
        <v>0</v>
      </c>
    </row>
    <row r="15" spans="2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2:17" x14ac:dyDescent="0.25">
      <c r="B16" s="8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Muneer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Muneer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36000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2475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39975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7</v>
      </c>
      <c r="J63" s="118"/>
      <c r="K63" s="117">
        <f>L14*J14</f>
        <v>8400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31575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G9:O10"/>
    <mergeCell ref="I22:O22"/>
    <mergeCell ref="I29:O29"/>
    <mergeCell ref="I36:O36"/>
    <mergeCell ref="I43:O43"/>
    <mergeCell ref="I55:M55"/>
    <mergeCell ref="H19:O19"/>
    <mergeCell ref="I56:M56"/>
    <mergeCell ref="H17:N17"/>
    <mergeCell ref="I50:O50"/>
    <mergeCell ref="H53:J5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13" zoomScaleNormal="100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.140625" customWidth="1"/>
    <col min="15" max="15" width="10.42578125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67</v>
      </c>
      <c r="H14" s="9" t="s">
        <v>80</v>
      </c>
      <c r="I14" s="9">
        <v>25000</v>
      </c>
      <c r="J14" s="9">
        <f>I14/30</f>
        <v>833.33333333333337</v>
      </c>
      <c r="K14" s="9">
        <f>J14/8</f>
        <v>104.16666666666667</v>
      </c>
      <c r="L14" s="9">
        <v>0</v>
      </c>
      <c r="M14" s="9">
        <f>I14-(J14*L14)</f>
        <v>25000</v>
      </c>
      <c r="N14" s="46">
        <f>L50</f>
        <v>0</v>
      </c>
      <c r="O14" s="47">
        <v>1535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Hunain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Hunain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1535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28035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28035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G9:O10"/>
    <mergeCell ref="I22:O22"/>
    <mergeCell ref="I29:O29"/>
    <mergeCell ref="I36:O36"/>
    <mergeCell ref="I43:O43"/>
    <mergeCell ref="I55:M55"/>
    <mergeCell ref="H19:O19"/>
    <mergeCell ref="I56:M56"/>
    <mergeCell ref="H17:N17"/>
    <mergeCell ref="I50:O50"/>
    <mergeCell ref="H53:J5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37" zoomScale="96" zoomScaleNormal="96" workbookViewId="0">
      <selection activeCell="A17" sqref="A17:O66"/>
    </sheetView>
  </sheetViews>
  <sheetFormatPr defaultRowHeight="15" x14ac:dyDescent="0.25"/>
  <cols>
    <col min="4" max="4" width="11.1406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5703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" customWidth="1"/>
    <col min="15" max="15" width="10.42578125" customWidth="1"/>
    <col min="17" max="17" width="10.140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60</v>
      </c>
      <c r="H14" s="9" t="s">
        <v>98</v>
      </c>
      <c r="I14" s="9">
        <v>35000</v>
      </c>
      <c r="J14" s="9">
        <f>I14/30</f>
        <v>1166.6666666666667</v>
      </c>
      <c r="K14" s="9">
        <f>J14/8</f>
        <v>145.83333333333334</v>
      </c>
      <c r="L14" s="9">
        <v>6</v>
      </c>
      <c r="M14" s="9">
        <f>I14-(J14*L14)</f>
        <v>28000</v>
      </c>
      <c r="N14" s="46">
        <f>L50</f>
        <v>0</v>
      </c>
      <c r="O14" s="47">
        <v>5906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2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Sajjad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Sajjad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35000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5906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42406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6</v>
      </c>
      <c r="J63" s="118"/>
      <c r="K63" s="117">
        <f>L14*J14</f>
        <v>7000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35406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AJ77:AW79"/>
    <mergeCell ref="H19:O19"/>
    <mergeCell ref="I55:M55"/>
    <mergeCell ref="I56:M56"/>
    <mergeCell ref="I61:M61"/>
    <mergeCell ref="I59:M59"/>
    <mergeCell ref="I60:M60"/>
    <mergeCell ref="I62:J62"/>
    <mergeCell ref="G9:O10"/>
    <mergeCell ref="I58:M58"/>
    <mergeCell ref="H17:N17"/>
    <mergeCell ref="I22:O22"/>
    <mergeCell ref="I29:O29"/>
    <mergeCell ref="I36:O36"/>
    <mergeCell ref="I43:O43"/>
    <mergeCell ref="I50:O50"/>
    <mergeCell ref="H53:J53"/>
    <mergeCell ref="I57:J57"/>
    <mergeCell ref="K57:M57"/>
    <mergeCell ref="I66:M66"/>
    <mergeCell ref="K62:M62"/>
    <mergeCell ref="I63:J63"/>
    <mergeCell ref="K63:M63"/>
    <mergeCell ref="I64:M64"/>
    <mergeCell ref="I65:M65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zoomScale="96" zoomScaleNormal="96" workbookViewId="0">
      <selection activeCell="A17" sqref="A17:O66"/>
    </sheetView>
  </sheetViews>
  <sheetFormatPr defaultRowHeight="15" x14ac:dyDescent="0.25"/>
  <cols>
    <col min="4" max="4" width="11.1406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7109375" customWidth="1"/>
    <col min="15" max="15" width="10.42578125" customWidth="1"/>
    <col min="17" max="17" width="9.855468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61</v>
      </c>
      <c r="H14" s="9" t="s">
        <v>80</v>
      </c>
      <c r="I14" s="9">
        <v>27000</v>
      </c>
      <c r="J14" s="9">
        <f>I14/30</f>
        <v>900</v>
      </c>
      <c r="K14" s="9">
        <f>J14/8</f>
        <v>112.5</v>
      </c>
      <c r="L14" s="9">
        <v>2</v>
      </c>
      <c r="M14" s="9">
        <f>I14-(J14*L14)</f>
        <v>25200</v>
      </c>
      <c r="N14" s="46">
        <f>L50</f>
        <v>0</v>
      </c>
      <c r="O14" s="47">
        <v>5231</v>
      </c>
      <c r="P14" s="2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Fareed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Fareed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27000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5231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33731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2</v>
      </c>
      <c r="J63" s="118"/>
      <c r="K63" s="117">
        <f>L14*J14</f>
        <v>1800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31931</v>
      </c>
      <c r="J66" s="107"/>
      <c r="K66" s="107"/>
      <c r="L66" s="107"/>
      <c r="M66" s="107"/>
    </row>
    <row r="76" spans="5:49" ht="15.75" thickBot="1" x14ac:dyDescent="0.3">
      <c r="F76" s="72">
        <v>46063</v>
      </c>
    </row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I59:M59"/>
    <mergeCell ref="AJ77:AW79"/>
    <mergeCell ref="H19:O19"/>
    <mergeCell ref="I55:M55"/>
    <mergeCell ref="I56:M56"/>
    <mergeCell ref="I61:M61"/>
    <mergeCell ref="I22:O22"/>
    <mergeCell ref="I29:O29"/>
    <mergeCell ref="I36:O36"/>
    <mergeCell ref="G9:O10"/>
    <mergeCell ref="I58:M58"/>
    <mergeCell ref="I43:O43"/>
    <mergeCell ref="H17:N17"/>
    <mergeCell ref="I50:O50"/>
    <mergeCell ref="H53:J53"/>
    <mergeCell ref="I57:J57"/>
    <mergeCell ref="K57:M57"/>
    <mergeCell ref="I64:M64"/>
    <mergeCell ref="I65:M65"/>
    <mergeCell ref="I66:M66"/>
    <mergeCell ref="I60:M60"/>
    <mergeCell ref="I62:J62"/>
    <mergeCell ref="K62:M62"/>
    <mergeCell ref="I63:J63"/>
    <mergeCell ref="K63:M63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6" zoomScale="95" zoomScaleNormal="95" workbookViewId="0">
      <selection activeCell="A17" sqref="A17:O66"/>
    </sheetView>
  </sheetViews>
  <sheetFormatPr defaultRowHeight="15" x14ac:dyDescent="0.25"/>
  <cols>
    <col min="4" max="4" width="11.1406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10.140625" customWidth="1"/>
    <col min="17" max="17" width="10.28515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62</v>
      </c>
      <c r="H14" s="9" t="s">
        <v>80</v>
      </c>
      <c r="I14" s="9">
        <v>35000</v>
      </c>
      <c r="J14" s="9">
        <f>I14/30</f>
        <v>1166.6666666666667</v>
      </c>
      <c r="K14" s="9">
        <f>J14/8</f>
        <v>145.83333333333334</v>
      </c>
      <c r="L14" s="9">
        <v>5</v>
      </c>
      <c r="M14" s="9">
        <f>I14-(J14*L14)</f>
        <v>29166.666666666664</v>
      </c>
      <c r="N14" s="46">
        <f>L50</f>
        <v>0</v>
      </c>
      <c r="O14" s="47">
        <v>2076</v>
      </c>
      <c r="P14" s="2">
        <f>O50</f>
        <v>0</v>
      </c>
      <c r="Q14" s="2">
        <v>1027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Shazil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Shazil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35000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2076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38576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1027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5</v>
      </c>
      <c r="J63" s="118"/>
      <c r="K63" s="117">
        <f>L14*J14</f>
        <v>5833.3333333333339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31715.666666666664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I43:O43"/>
    <mergeCell ref="H17:N17"/>
    <mergeCell ref="I50:O50"/>
    <mergeCell ref="G9:O10"/>
    <mergeCell ref="H19:O19"/>
    <mergeCell ref="I22:O22"/>
    <mergeCell ref="I29:O29"/>
    <mergeCell ref="I36:O36"/>
    <mergeCell ref="AJ77:AW79"/>
    <mergeCell ref="I58:M58"/>
    <mergeCell ref="I61:M61"/>
    <mergeCell ref="I62:J62"/>
    <mergeCell ref="K62:M62"/>
    <mergeCell ref="I63:J63"/>
    <mergeCell ref="K63:M63"/>
    <mergeCell ref="I64:M64"/>
    <mergeCell ref="I65:M65"/>
    <mergeCell ref="I66:M66"/>
    <mergeCell ref="H53:J53"/>
    <mergeCell ref="I57:J57"/>
    <mergeCell ref="K57:M57"/>
    <mergeCell ref="I59:M59"/>
    <mergeCell ref="I60:M60"/>
    <mergeCell ref="I55:M55"/>
    <mergeCell ref="I56:M5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zoomScale="95" zoomScaleNormal="95" workbookViewId="0">
      <selection activeCell="A17" sqref="A17:O66"/>
    </sheetView>
  </sheetViews>
  <sheetFormatPr defaultRowHeight="15" x14ac:dyDescent="0.25"/>
  <cols>
    <col min="4" max="4" width="11.1406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" bestFit="1" customWidth="1"/>
    <col min="15" max="15" width="9.855468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88</v>
      </c>
      <c r="H14" s="9" t="s">
        <v>80</v>
      </c>
      <c r="I14" s="9">
        <v>25000</v>
      </c>
      <c r="J14" s="9">
        <f>I14/30</f>
        <v>833.33333333333337</v>
      </c>
      <c r="K14" s="9">
        <f>J14/8</f>
        <v>104.16666666666667</v>
      </c>
      <c r="L14" s="9">
        <v>9</v>
      </c>
      <c r="M14" s="9">
        <f>I14-(J14*L14)</f>
        <v>17500</v>
      </c>
      <c r="N14" s="46">
        <f>L50</f>
        <v>0</v>
      </c>
      <c r="O14" s="47">
        <v>0</v>
      </c>
      <c r="P14" s="37">
        <f>O50</f>
        <v>0</v>
      </c>
      <c r="Q14" s="2">
        <v>451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Sami folding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Sami folding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26500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451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9</v>
      </c>
      <c r="J63" s="118"/>
      <c r="K63" s="117">
        <f>L14*J14</f>
        <v>7500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18549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G9:O10"/>
    <mergeCell ref="I55:M55"/>
    <mergeCell ref="H19:O19"/>
    <mergeCell ref="I56:M56"/>
    <mergeCell ref="H17:N17"/>
    <mergeCell ref="I22:O22"/>
    <mergeCell ref="I29:O29"/>
    <mergeCell ref="I36:O36"/>
    <mergeCell ref="I43:O43"/>
    <mergeCell ref="I50:O50"/>
    <mergeCell ref="H53:J5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7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.85546875" customWidth="1"/>
    <col min="17" max="17" width="10.28515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64</v>
      </c>
      <c r="H14" s="9" t="s">
        <v>80</v>
      </c>
      <c r="I14" s="9">
        <v>25000</v>
      </c>
      <c r="J14" s="9">
        <f>I14/30</f>
        <v>833.33333333333337</v>
      </c>
      <c r="K14" s="9">
        <f>J14/8</f>
        <v>104.16666666666667</v>
      </c>
      <c r="L14" s="9">
        <v>0</v>
      </c>
      <c r="M14" s="9">
        <f>I14-(J14*L14)</f>
        <v>25000</v>
      </c>
      <c r="N14" s="56">
        <f>L50</f>
        <v>0</v>
      </c>
      <c r="O14" s="47">
        <v>4960</v>
      </c>
      <c r="P14" s="2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Arsalan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Arsalan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4960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31460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31460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22:O22"/>
    <mergeCell ref="I29:O29"/>
    <mergeCell ref="I36:O36"/>
    <mergeCell ref="I43:O4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5:AW83"/>
  <sheetViews>
    <sheetView topLeftCell="A10" zoomScale="106" zoomScaleNormal="106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5703125" bestFit="1" customWidth="1"/>
    <col min="9" max="9" width="16.85546875" customWidth="1"/>
    <col min="10" max="10" width="18.85546875" customWidth="1"/>
    <col min="11" max="11" width="11.42578125" customWidth="1"/>
    <col min="12" max="13" width="13.140625" bestFit="1" customWidth="1"/>
    <col min="14" max="15" width="10.57031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65</v>
      </c>
      <c r="H14" s="9" t="s">
        <v>80</v>
      </c>
      <c r="I14" s="9">
        <v>25000</v>
      </c>
      <c r="J14" s="9">
        <f>I14/30</f>
        <v>833.33333333333337</v>
      </c>
      <c r="K14" s="9">
        <f>J14/8</f>
        <v>104.16666666666667</v>
      </c>
      <c r="L14" s="9">
        <v>4</v>
      </c>
      <c r="M14" s="9">
        <f>I14-(J14*L14)</f>
        <v>21666.666666666668</v>
      </c>
      <c r="N14" s="46">
        <f>L50</f>
        <v>0</v>
      </c>
      <c r="O14" s="47">
        <v>442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 t="s">
        <v>63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Ubaid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Ubaid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442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26942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4</v>
      </c>
      <c r="J63" s="118"/>
      <c r="K63" s="117">
        <f>L14*J14</f>
        <v>3333.3333333333335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23608.666666666668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G9:O10"/>
    <mergeCell ref="I22:O22"/>
    <mergeCell ref="I29:O29"/>
    <mergeCell ref="I36:O36"/>
    <mergeCell ref="I43:O43"/>
    <mergeCell ref="I55:M55"/>
    <mergeCell ref="H19:O19"/>
    <mergeCell ref="I56:M56"/>
    <mergeCell ref="H17:N17"/>
    <mergeCell ref="I50:O50"/>
    <mergeCell ref="H53:J5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4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" customWidth="1"/>
    <col min="15" max="15" width="10.42578125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58</v>
      </c>
      <c r="H14" s="9" t="s">
        <v>80</v>
      </c>
      <c r="I14" s="9">
        <v>45000</v>
      </c>
      <c r="J14" s="9">
        <f>I14/30</f>
        <v>1500</v>
      </c>
      <c r="K14" s="9">
        <f>J14/8</f>
        <v>187.5</v>
      </c>
      <c r="L14" s="9">
        <v>2</v>
      </c>
      <c r="M14" s="9">
        <f>I14-(J14*L14)</f>
        <v>42000</v>
      </c>
      <c r="N14" s="46">
        <f>L50</f>
        <v>0</v>
      </c>
      <c r="O14" s="47">
        <v>981</v>
      </c>
      <c r="P14" s="37">
        <f>O50</f>
        <v>0</v>
      </c>
      <c r="Q14" s="2">
        <v>2889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Zohaib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6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6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6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6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6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6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6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6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6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6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30"/>
    </row>
    <row r="43" spans="3:16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6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6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6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6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6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Zohaib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45000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981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47481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2889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2</v>
      </c>
      <c r="J63" s="118"/>
      <c r="K63" s="117">
        <f>L14*J14</f>
        <v>3000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41592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22:O22"/>
    <mergeCell ref="I29:O29"/>
    <mergeCell ref="I36:O36"/>
    <mergeCell ref="I43:O4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5" workbookViewId="0">
      <selection activeCell="A17" sqref="A17:O66"/>
    </sheetView>
  </sheetViews>
  <sheetFormatPr defaultRowHeight="15" x14ac:dyDescent="0.25"/>
  <cols>
    <col min="4" max="4" width="14.1406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10.140625" customWidth="1"/>
    <col min="17" max="17" width="10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37.5" x14ac:dyDescent="0.25">
      <c r="D14" s="1"/>
      <c r="E14" s="1"/>
      <c r="F14" s="1"/>
      <c r="G14" s="52" t="s">
        <v>89</v>
      </c>
      <c r="H14" s="9" t="s">
        <v>80</v>
      </c>
      <c r="I14" s="9">
        <v>40000</v>
      </c>
      <c r="J14" s="9">
        <f>I14/30</f>
        <v>1333.3333333333333</v>
      </c>
      <c r="K14" s="9">
        <f>J14/8</f>
        <v>166.66666666666666</v>
      </c>
      <c r="L14" s="9">
        <v>9</v>
      </c>
      <c r="M14" s="9">
        <f>I14-(J14*L14)</f>
        <v>28000</v>
      </c>
      <c r="N14" s="46">
        <f>L50</f>
        <v>0</v>
      </c>
      <c r="O14" s="47">
        <v>0</v>
      </c>
      <c r="P14" s="2">
        <f>O50</f>
        <v>0</v>
      </c>
      <c r="Q14" s="2">
        <v>1680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3.25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35.25" customHeight="1" x14ac:dyDescent="0.25">
      <c r="D19" s="1"/>
      <c r="E19" s="1"/>
      <c r="F19" s="1"/>
      <c r="G19" s="9" t="str">
        <f>G12</f>
        <v>Name</v>
      </c>
      <c r="H19" s="123" t="str">
        <f>G14</f>
        <v>Faheem sorter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Faheem sorter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40000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41500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1680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9</v>
      </c>
      <c r="J63" s="118"/>
      <c r="K63" s="117">
        <f>L14*J14</f>
        <v>12000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27820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22:O22"/>
    <mergeCell ref="I29:O29"/>
    <mergeCell ref="I36:O36"/>
    <mergeCell ref="I43:O4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10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7109375" customWidth="1"/>
    <col min="15" max="15" width="11.28515625" customWidth="1"/>
    <col min="17" max="17" width="10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99</v>
      </c>
      <c r="H14" s="9" t="s">
        <v>80</v>
      </c>
      <c r="I14" s="9">
        <v>28000</v>
      </c>
      <c r="J14" s="9">
        <f>I14/30</f>
        <v>933.33333333333337</v>
      </c>
      <c r="K14" s="9">
        <f>J14/8</f>
        <v>116.66666666666667</v>
      </c>
      <c r="L14" s="9"/>
      <c r="M14" s="9">
        <f>I14-(J14*L14)</f>
        <v>28000</v>
      </c>
      <c r="N14" s="46">
        <f>L50</f>
        <v>0</v>
      </c>
      <c r="O14" s="47">
        <v>2842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Owais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Owais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28000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2842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32342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0</v>
      </c>
      <c r="J63" s="118"/>
      <c r="K63" s="117">
        <f>L14*J14</f>
        <v>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32342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G9:O10"/>
    <mergeCell ref="I22:O22"/>
    <mergeCell ref="I29:O29"/>
    <mergeCell ref="I36:O36"/>
    <mergeCell ref="I43:O43"/>
    <mergeCell ref="I55:M55"/>
    <mergeCell ref="H19:O19"/>
    <mergeCell ref="I56:M56"/>
    <mergeCell ref="H17:N17"/>
    <mergeCell ref="I50:O50"/>
    <mergeCell ref="H53:J5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10.28515625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69</v>
      </c>
      <c r="H14" s="9" t="s">
        <v>80</v>
      </c>
      <c r="I14" s="9">
        <v>25000</v>
      </c>
      <c r="J14" s="9">
        <f>I14/30</f>
        <v>833.33333333333337</v>
      </c>
      <c r="K14" s="9">
        <f>J14/8</f>
        <v>104.16666666666667</v>
      </c>
      <c r="L14" s="9">
        <v>2</v>
      </c>
      <c r="M14" s="9">
        <f>I14-(J14*L14)</f>
        <v>23333.333333333332</v>
      </c>
      <c r="N14" s="46">
        <f>L50</f>
        <v>0</v>
      </c>
      <c r="O14" s="47">
        <v>1497</v>
      </c>
      <c r="P14" s="2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Hammad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Hammad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25000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1497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27997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2</v>
      </c>
      <c r="J63" s="118"/>
      <c r="K63" s="117">
        <f>L14*J14</f>
        <v>1666.6666666666667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26330.333333333332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22:O22"/>
    <mergeCell ref="I29:O29"/>
    <mergeCell ref="I36:O36"/>
    <mergeCell ref="I43:O4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9" zoomScale="98" zoomScaleNormal="98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710937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7109375" customWidth="1"/>
    <col min="15" max="15" width="10.42578125" customWidth="1"/>
    <col min="17" max="17" width="9.140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66</v>
      </c>
      <c r="H14" s="9" t="s">
        <v>80</v>
      </c>
      <c r="I14" s="9">
        <v>37000</v>
      </c>
      <c r="J14" s="9">
        <f>I14/30</f>
        <v>1233.3333333333333</v>
      </c>
      <c r="K14" s="9">
        <f>J14/8</f>
        <v>154.16666666666666</v>
      </c>
      <c r="L14" s="9">
        <v>4</v>
      </c>
      <c r="M14" s="9">
        <f>I14-(J14*L14)</f>
        <v>32066.666666666668</v>
      </c>
      <c r="N14" s="46">
        <f>L50</f>
        <v>0</v>
      </c>
      <c r="O14" s="47">
        <v>0</v>
      </c>
      <c r="P14" s="2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Imtiaz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Imtiaz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37000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38500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4</v>
      </c>
      <c r="J63" s="118"/>
      <c r="K63" s="117">
        <f>L14*J14</f>
        <v>4933.333333333333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33566.666666666672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G9:O10"/>
    <mergeCell ref="I55:M55"/>
    <mergeCell ref="H19:O19"/>
    <mergeCell ref="I22:O22"/>
    <mergeCell ref="I29:O29"/>
    <mergeCell ref="I36:O36"/>
    <mergeCell ref="I43:O43"/>
    <mergeCell ref="AJ77:AW79"/>
    <mergeCell ref="I61:M61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  <mergeCell ref="H17:N17"/>
    <mergeCell ref="I50:O50"/>
    <mergeCell ref="H53:J53"/>
    <mergeCell ref="I57:J57"/>
    <mergeCell ref="K57:M57"/>
    <mergeCell ref="I56:M56"/>
    <mergeCell ref="I58:M58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8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10" customWidth="1"/>
    <col min="17" max="17" width="10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70</v>
      </c>
      <c r="H14" s="9" t="s">
        <v>80</v>
      </c>
      <c r="I14" s="9">
        <v>28000</v>
      </c>
      <c r="J14" s="9">
        <f>I14/30</f>
        <v>933.33333333333337</v>
      </c>
      <c r="K14" s="9">
        <f>J14/8</f>
        <v>116.66666666666667</v>
      </c>
      <c r="L14" s="9">
        <v>9</v>
      </c>
      <c r="M14" s="9">
        <f>I14-(J14*L14)</f>
        <v>19600</v>
      </c>
      <c r="N14" s="56">
        <f>L50</f>
        <v>0</v>
      </c>
      <c r="O14" s="47">
        <v>0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Sunny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Sunny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28000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29500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9</v>
      </c>
      <c r="J63" s="118"/>
      <c r="K63" s="117">
        <f>L14*J14</f>
        <v>8400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21100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22:O22"/>
    <mergeCell ref="I29:O29"/>
    <mergeCell ref="I36:O36"/>
    <mergeCell ref="I43:O4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1.28515625" customWidth="1"/>
    <col min="15" max="15" width="10.140625" customWidth="1"/>
    <col min="17" max="17" width="10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71</v>
      </c>
      <c r="H14" s="9" t="s">
        <v>80</v>
      </c>
      <c r="I14" s="9">
        <v>22000</v>
      </c>
      <c r="J14" s="9">
        <f>I14/30</f>
        <v>733.33333333333337</v>
      </c>
      <c r="K14" s="9">
        <f>J14/8</f>
        <v>91.666666666666671</v>
      </c>
      <c r="L14" s="9">
        <v>3</v>
      </c>
      <c r="M14" s="9">
        <f>I14-(J14*L14)</f>
        <v>19800</v>
      </c>
      <c r="N14" s="46">
        <f>L50</f>
        <v>0</v>
      </c>
      <c r="O14" s="47">
        <v>2187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Rafay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Rafay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22000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2187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25687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3</v>
      </c>
      <c r="J63" s="118"/>
      <c r="K63" s="117">
        <f>L14*J14</f>
        <v>2200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23487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22:O22"/>
    <mergeCell ref="I29:O29"/>
    <mergeCell ref="I36:O36"/>
    <mergeCell ref="I43:O4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zoomScaleNormal="100" workbookViewId="0">
      <selection activeCell="A17" sqref="A17:O66"/>
    </sheetView>
  </sheetViews>
  <sheetFormatPr defaultRowHeight="15" x14ac:dyDescent="0.25"/>
  <cols>
    <col min="4" max="4" width="10.425781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7109375" customWidth="1"/>
    <col min="15" max="15" width="10.140625" customWidth="1"/>
    <col min="17" max="17" width="10.28515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90</v>
      </c>
      <c r="H14" s="9" t="s">
        <v>80</v>
      </c>
      <c r="I14" s="9">
        <v>48000</v>
      </c>
      <c r="J14" s="9">
        <f>I14/30</f>
        <v>1600</v>
      </c>
      <c r="K14" s="9">
        <f>J14/8</f>
        <v>200</v>
      </c>
      <c r="L14" s="9">
        <v>10</v>
      </c>
      <c r="M14" s="9">
        <f>I14-(J14*L14)</f>
        <v>32000</v>
      </c>
      <c r="N14" s="46">
        <f>L50</f>
        <v>0</v>
      </c>
      <c r="O14" s="47">
        <v>0</v>
      </c>
      <c r="P14" s="37">
        <f>O50</f>
        <v>0</v>
      </c>
      <c r="Q14" s="2">
        <v>2432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M.faheem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M.faheem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48000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0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49500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2432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10</v>
      </c>
      <c r="J63" s="118"/>
      <c r="K63" s="117">
        <f>L14*J14</f>
        <v>16000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31068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G9:O10"/>
    <mergeCell ref="I55:M55"/>
    <mergeCell ref="H19:O19"/>
    <mergeCell ref="I56:M56"/>
    <mergeCell ref="H17:N17"/>
    <mergeCell ref="I22:O22"/>
    <mergeCell ref="I29:O29"/>
    <mergeCell ref="I36:O36"/>
    <mergeCell ref="I43:O43"/>
    <mergeCell ref="I50:O50"/>
    <mergeCell ref="H53:J5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8" workbookViewId="0">
      <selection activeCell="A17" sqref="A17:O66"/>
    </sheetView>
  </sheetViews>
  <sheetFormatPr defaultRowHeight="15" x14ac:dyDescent="0.25"/>
  <cols>
    <col min="4" max="4" width="10.425781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.42578125" customWidth="1"/>
    <col min="17" max="17" width="9.855468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72</v>
      </c>
      <c r="H14" s="9" t="s">
        <v>80</v>
      </c>
      <c r="I14" s="9">
        <v>22000</v>
      </c>
      <c r="J14" s="9">
        <f>I14/30</f>
        <v>733.33333333333337</v>
      </c>
      <c r="K14" s="9">
        <f>J14/8</f>
        <v>91.666666666666671</v>
      </c>
      <c r="L14" s="9">
        <v>2</v>
      </c>
      <c r="M14" s="9">
        <f>I14-(J14*L14)</f>
        <v>20533.333333333332</v>
      </c>
      <c r="N14" s="46">
        <f>L50</f>
        <v>0</v>
      </c>
      <c r="O14" s="47">
        <v>1500</v>
      </c>
      <c r="P14" s="37">
        <f>O50</f>
        <v>0</v>
      </c>
      <c r="Q14" s="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Junaid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Q35" t="s">
        <v>63</v>
      </c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Junaid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22000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1500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25000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2</v>
      </c>
      <c r="J63" s="118"/>
      <c r="K63" s="117">
        <f>L14*J14</f>
        <v>1466.6666666666667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23533.333333333332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22:O22"/>
    <mergeCell ref="I29:O29"/>
    <mergeCell ref="I43:O43"/>
    <mergeCell ref="I36:O36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.23622047244094488" right="0.23622047244094488" top="1.3385826771653544" bottom="0.74803149606299213" header="0.31496062992125984" footer="0.31496062992125984"/>
  <pageSetup paperSize="9" scale="18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102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21" x14ac:dyDescent="0.25">
      <c r="D14" s="1"/>
      <c r="E14" s="1"/>
      <c r="F14" s="1"/>
      <c r="G14" s="9" t="s">
        <v>105</v>
      </c>
      <c r="H14" s="9" t="s">
        <v>96</v>
      </c>
      <c r="I14" s="9">
        <v>35000</v>
      </c>
      <c r="J14" s="9">
        <f>I14/30</f>
        <v>1166.6666666666667</v>
      </c>
      <c r="K14" s="9">
        <f>J14/8</f>
        <v>145.83333333333334</v>
      </c>
      <c r="L14" s="9">
        <v>2</v>
      </c>
      <c r="M14" s="9">
        <f>I14-(J14*L14)</f>
        <v>32666.666666666668</v>
      </c>
      <c r="N14" s="46">
        <f>L50</f>
        <v>0</v>
      </c>
      <c r="O14" s="47">
        <v>10653</v>
      </c>
      <c r="P14" s="59">
        <f>O50</f>
        <v>0</v>
      </c>
      <c r="Q14" s="62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Umar Farooq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Umar Farooq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35000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10653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47153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2</v>
      </c>
      <c r="J63" s="118"/>
      <c r="K63" s="117">
        <f>L14*J14</f>
        <v>2333.3333333333335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44819.666666666672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AJ77:AW79"/>
    <mergeCell ref="I55:M55"/>
    <mergeCell ref="I56:M56"/>
    <mergeCell ref="I58:M58"/>
    <mergeCell ref="I61:M61"/>
    <mergeCell ref="I62:J62"/>
    <mergeCell ref="K62:M62"/>
    <mergeCell ref="I63:J63"/>
    <mergeCell ref="K63:M63"/>
    <mergeCell ref="I64:M64"/>
    <mergeCell ref="I65:M65"/>
    <mergeCell ref="I66:M66"/>
    <mergeCell ref="G9:O10"/>
    <mergeCell ref="H19:O19"/>
    <mergeCell ref="I43:O43"/>
    <mergeCell ref="I36:O36"/>
    <mergeCell ref="I29:O29"/>
    <mergeCell ref="I22:O22"/>
    <mergeCell ref="H17:N17"/>
    <mergeCell ref="I50:O50"/>
    <mergeCell ref="H53:J53"/>
    <mergeCell ref="I57:J57"/>
    <mergeCell ref="K57:M57"/>
    <mergeCell ref="I59:M59"/>
    <mergeCell ref="I60:M60"/>
  </mergeCells>
  <pageMargins left="0.23622047244094488" right="0.23622047244094488" top="1.3385826771653544" bottom="0.74803149606299213" header="0.31496062992125984" footer="0.31496062992125984"/>
  <pageSetup paperSize="9" scale="1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102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21" x14ac:dyDescent="0.25">
      <c r="D14" s="1"/>
      <c r="E14" s="1"/>
      <c r="F14" s="1"/>
      <c r="G14" s="9" t="s">
        <v>104</v>
      </c>
      <c r="H14" s="9" t="s">
        <v>98</v>
      </c>
      <c r="I14" s="9">
        <v>22000</v>
      </c>
      <c r="J14" s="9">
        <f>I14/30</f>
        <v>733.33333333333337</v>
      </c>
      <c r="K14" s="9">
        <f>J14/8</f>
        <v>91.666666666666671</v>
      </c>
      <c r="L14" s="9">
        <v>1</v>
      </c>
      <c r="M14" s="9">
        <f>I14-(J14*L14)</f>
        <v>21266.666666666668</v>
      </c>
      <c r="N14" s="46">
        <f>L50</f>
        <v>0</v>
      </c>
      <c r="O14" s="47">
        <v>1431</v>
      </c>
      <c r="P14" s="59">
        <f>O50</f>
        <v>0</v>
      </c>
      <c r="Q14" s="62">
        <v>588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Bilal Folding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Bilal Folding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22000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1431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24931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588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1</v>
      </c>
      <c r="J63" s="118"/>
      <c r="K63" s="117">
        <f>L14*J14</f>
        <v>733.33333333333337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23609.666666666668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AJ77:AW79"/>
    <mergeCell ref="I55:M55"/>
    <mergeCell ref="I56:M56"/>
    <mergeCell ref="I58:M58"/>
    <mergeCell ref="I61:M61"/>
    <mergeCell ref="I62:J62"/>
    <mergeCell ref="K62:M62"/>
    <mergeCell ref="I63:J63"/>
    <mergeCell ref="K63:M63"/>
    <mergeCell ref="I64:M64"/>
    <mergeCell ref="I65:M65"/>
    <mergeCell ref="I66:M66"/>
    <mergeCell ref="G9:O10"/>
    <mergeCell ref="H19:O19"/>
    <mergeCell ref="I22:O22"/>
    <mergeCell ref="I29:O29"/>
    <mergeCell ref="I36:O36"/>
    <mergeCell ref="I43:O43"/>
    <mergeCell ref="H17:N17"/>
    <mergeCell ref="I50:O50"/>
    <mergeCell ref="H53:J53"/>
    <mergeCell ref="I57:J57"/>
    <mergeCell ref="K57:M57"/>
    <mergeCell ref="I59:M59"/>
    <mergeCell ref="I60:M60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2" workbookViewId="0">
      <selection activeCell="A17" sqref="A17:O66"/>
    </sheetView>
  </sheetViews>
  <sheetFormatPr defaultRowHeight="15" x14ac:dyDescent="0.25"/>
  <cols>
    <col min="4" max="4" width="10.42578125" bestFit="1" customWidth="1"/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7109375" customWidth="1"/>
    <col min="15" max="15" width="10.28515625" customWidth="1"/>
    <col min="17" max="17" width="10.2851562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73</v>
      </c>
      <c r="H14" s="9" t="s">
        <v>80</v>
      </c>
      <c r="I14" s="9">
        <v>32000</v>
      </c>
      <c r="J14" s="9">
        <f>I14/30</f>
        <v>1066.6666666666667</v>
      </c>
      <c r="K14" s="9">
        <f>J14/8</f>
        <v>133.33333333333334</v>
      </c>
      <c r="L14" s="9">
        <v>2</v>
      </c>
      <c r="M14" s="9">
        <f>I14-(J14*L14)</f>
        <v>29866.666666666668</v>
      </c>
      <c r="N14" s="56">
        <v>27.25</v>
      </c>
      <c r="O14" s="61">
        <v>5481</v>
      </c>
      <c r="P14" s="2">
        <f>O50</f>
        <v>0</v>
      </c>
      <c r="Q14" s="2">
        <v>1121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Sameer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t="s">
        <v>63</v>
      </c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Q29" t="s">
        <v>63</v>
      </c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</row>
    <row r="33" spans="3:15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</row>
    <row r="34" spans="3:15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</row>
    <row r="35" spans="3:15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</row>
    <row r="36" spans="3:15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</row>
    <row r="37" spans="3:15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</row>
    <row r="38" spans="3:15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</row>
    <row r="39" spans="3:15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</row>
    <row r="40" spans="3:15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</row>
    <row r="41" spans="3:15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</row>
    <row r="42" spans="3:15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</row>
    <row r="43" spans="3:15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</row>
    <row r="44" spans="3:15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</row>
    <row r="45" spans="3:15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</row>
    <row r="46" spans="3:15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</row>
    <row r="47" spans="3:15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</row>
    <row r="48" spans="3:15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</row>
    <row r="49" spans="4:15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</row>
    <row r="50" spans="4:15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</row>
    <row r="51" spans="4:15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5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5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5" ht="21" x14ac:dyDescent="0.35">
      <c r="E55" s="2" t="s">
        <v>114</v>
      </c>
      <c r="H55" s="39" t="s">
        <v>0</v>
      </c>
      <c r="I55" s="107" t="str">
        <f>H19</f>
        <v>Sameer</v>
      </c>
      <c r="J55" s="107"/>
      <c r="K55" s="107"/>
      <c r="L55" s="107"/>
      <c r="M55" s="107"/>
    </row>
    <row r="56" spans="4:15" ht="21" x14ac:dyDescent="0.35">
      <c r="E56" s="2"/>
      <c r="H56" s="39" t="s">
        <v>74</v>
      </c>
      <c r="I56" s="120">
        <f>I14</f>
        <v>32000</v>
      </c>
      <c r="J56" s="120"/>
      <c r="K56" s="120"/>
      <c r="L56" s="120"/>
      <c r="M56" s="120"/>
    </row>
    <row r="57" spans="4:15" ht="21" x14ac:dyDescent="0.35">
      <c r="E57" s="2"/>
      <c r="H57" s="39" t="s">
        <v>54</v>
      </c>
      <c r="I57" s="121">
        <f>L53</f>
        <v>0</v>
      </c>
      <c r="J57" s="121"/>
      <c r="K57" s="106">
        <f>O14</f>
        <v>5481</v>
      </c>
      <c r="L57" s="106"/>
      <c r="M57" s="106"/>
    </row>
    <row r="58" spans="4:15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5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5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5" ht="21" x14ac:dyDescent="0.35">
      <c r="E61" s="2"/>
      <c r="H61" s="39" t="s">
        <v>77</v>
      </c>
      <c r="I61" s="106">
        <f>I56+K57+I58+I59+I60</f>
        <v>38981</v>
      </c>
      <c r="J61" s="107"/>
      <c r="K61" s="107"/>
      <c r="L61" s="107"/>
      <c r="M61" s="107"/>
    </row>
    <row r="62" spans="4:15" ht="21" x14ac:dyDescent="0.35">
      <c r="E62" s="2"/>
      <c r="H62" s="39" t="s">
        <v>43</v>
      </c>
      <c r="I62" s="128">
        <f>O53</f>
        <v>0</v>
      </c>
      <c r="J62" s="129"/>
      <c r="K62" s="117">
        <f>Q14</f>
        <v>1121</v>
      </c>
      <c r="L62" s="119"/>
      <c r="M62" s="118"/>
    </row>
    <row r="63" spans="4:15" ht="21" x14ac:dyDescent="0.35">
      <c r="E63" s="2"/>
      <c r="H63" s="39" t="s">
        <v>75</v>
      </c>
      <c r="I63" s="117">
        <f>L14</f>
        <v>2</v>
      </c>
      <c r="J63" s="118"/>
      <c r="K63" s="117">
        <f>L14*J14</f>
        <v>2133.3333333333335</v>
      </c>
      <c r="L63" s="119"/>
      <c r="M63" s="118"/>
    </row>
    <row r="64" spans="4:15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35726.666666666672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H17:N17"/>
    <mergeCell ref="I50:O50"/>
    <mergeCell ref="H53:J53"/>
    <mergeCell ref="G9:O10"/>
    <mergeCell ref="I55:M55"/>
    <mergeCell ref="H19:O19"/>
    <mergeCell ref="I56:M56"/>
    <mergeCell ref="I22:O22"/>
    <mergeCell ref="I29:O29"/>
    <mergeCell ref="I36:O36"/>
    <mergeCell ref="I43:O43"/>
    <mergeCell ref="I58:M58"/>
    <mergeCell ref="AJ77:AW79"/>
    <mergeCell ref="I61:M61"/>
    <mergeCell ref="I57:J57"/>
    <mergeCell ref="K57:M57"/>
    <mergeCell ref="I59:M59"/>
    <mergeCell ref="I60:M60"/>
    <mergeCell ref="I62:J62"/>
    <mergeCell ref="K62:M62"/>
    <mergeCell ref="I63:J63"/>
    <mergeCell ref="K63:M63"/>
    <mergeCell ref="I64:M64"/>
    <mergeCell ref="I65:M65"/>
    <mergeCell ref="I66:M66"/>
  </mergeCells>
  <pageMargins left="0" right="0" top="1.3385826771653544" bottom="0.74803149606299213" header="0.31496062992125984" footer="0.31496062992125984"/>
  <pageSetup paperSize="9" scale="1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7" workbookViewId="0">
      <selection activeCell="A17" sqref="A17:O66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102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21" x14ac:dyDescent="0.25">
      <c r="D14" s="1"/>
      <c r="E14" s="1"/>
      <c r="F14" s="1"/>
      <c r="G14" s="9" t="s">
        <v>110</v>
      </c>
      <c r="H14" s="9" t="s">
        <v>109</v>
      </c>
      <c r="I14" s="9">
        <v>25000</v>
      </c>
      <c r="J14" s="9">
        <f>I14/30</f>
        <v>833.33333333333337</v>
      </c>
      <c r="K14" s="9">
        <f>J14/8</f>
        <v>104.16666666666667</v>
      </c>
      <c r="L14" s="9">
        <v>6</v>
      </c>
      <c r="M14" s="9">
        <f>I14-(J14*L14)</f>
        <v>20000</v>
      </c>
      <c r="N14" s="46">
        <f>I54</f>
        <v>0</v>
      </c>
      <c r="O14" s="47">
        <v>169</v>
      </c>
      <c r="P14" s="59">
        <f>O50</f>
        <v>0</v>
      </c>
      <c r="Q14" s="63">
        <v>0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Bilal Incharge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0" t="s">
        <v>52</v>
      </c>
      <c r="J22" s="131"/>
      <c r="K22" s="131"/>
      <c r="L22" s="131"/>
      <c r="M22" s="131"/>
      <c r="N22" s="131"/>
      <c r="O22" s="132"/>
      <c r="P22" s="1"/>
      <c r="Q22" s="1"/>
    </row>
    <row r="23" spans="4:17" x14ac:dyDescent="0.25">
      <c r="D23" s="1"/>
      <c r="E23" s="1"/>
      <c r="F23" s="1"/>
      <c r="G23" s="15">
        <v>2</v>
      </c>
      <c r="H23" s="98" t="s">
        <v>49</v>
      </c>
      <c r="I23" s="96">
        <v>0.375</v>
      </c>
      <c r="J23" s="96">
        <v>0.75</v>
      </c>
      <c r="K23" s="71">
        <v>0</v>
      </c>
      <c r="L23" s="68">
        <v>0</v>
      </c>
      <c r="M23" s="29">
        <v>0</v>
      </c>
      <c r="N23" s="29">
        <v>0</v>
      </c>
      <c r="O23" s="68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96">
        <v>0.375</v>
      </c>
      <c r="J24" s="96">
        <v>0.75</v>
      </c>
      <c r="K24" s="71">
        <v>0</v>
      </c>
      <c r="L24" s="68">
        <v>0</v>
      </c>
      <c r="M24" s="29">
        <v>0</v>
      </c>
      <c r="N24" s="29">
        <v>0</v>
      </c>
      <c r="O24" s="68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96">
        <v>0.375</v>
      </c>
      <c r="J25" s="96">
        <v>0.75</v>
      </c>
      <c r="K25" s="71">
        <v>0</v>
      </c>
      <c r="L25" s="68">
        <v>0</v>
      </c>
      <c r="M25" s="29">
        <v>0</v>
      </c>
      <c r="N25" s="29">
        <v>0</v>
      </c>
      <c r="O25" s="68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96">
        <v>0.375</v>
      </c>
      <c r="J26" s="96">
        <v>0.75</v>
      </c>
      <c r="K26" s="71">
        <v>0</v>
      </c>
      <c r="L26" s="68">
        <v>0</v>
      </c>
      <c r="M26" s="29">
        <v>0</v>
      </c>
      <c r="N26" s="29">
        <v>0</v>
      </c>
      <c r="O26" s="68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96">
        <v>0.375</v>
      </c>
      <c r="J27" s="96">
        <v>0.75</v>
      </c>
      <c r="K27" s="71">
        <v>0</v>
      </c>
      <c r="L27" s="68">
        <v>0</v>
      </c>
      <c r="M27" s="29">
        <v>0</v>
      </c>
      <c r="N27" s="29">
        <v>0</v>
      </c>
      <c r="O27" s="68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96">
        <v>0.375</v>
      </c>
      <c r="J28" s="96">
        <v>0.75</v>
      </c>
      <c r="K28" s="71">
        <v>0</v>
      </c>
      <c r="L28" s="68">
        <v>0</v>
      </c>
      <c r="M28" s="29">
        <v>0</v>
      </c>
      <c r="N28" s="29">
        <v>0</v>
      </c>
      <c r="O28" s="68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0.375</v>
      </c>
      <c r="J30" s="96">
        <v>0.75</v>
      </c>
      <c r="K30" s="71">
        <v>0</v>
      </c>
      <c r="L30" s="68">
        <v>0</v>
      </c>
      <c r="M30" s="29">
        <v>0</v>
      </c>
      <c r="N30" s="29">
        <v>0</v>
      </c>
      <c r="O30" s="68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0.375</v>
      </c>
      <c r="J31" s="96">
        <v>0.75</v>
      </c>
      <c r="K31" s="71">
        <v>0</v>
      </c>
      <c r="L31" s="68">
        <v>0</v>
      </c>
      <c r="M31" s="29">
        <v>0</v>
      </c>
      <c r="N31" s="29">
        <v>0</v>
      </c>
      <c r="O31" s="68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0.375</v>
      </c>
      <c r="J32" s="96">
        <v>0.75</v>
      </c>
      <c r="K32" s="71">
        <v>0</v>
      </c>
      <c r="L32" s="68">
        <v>0</v>
      </c>
      <c r="M32" s="29">
        <v>0</v>
      </c>
      <c r="N32" s="29">
        <v>0</v>
      </c>
      <c r="O32" s="68">
        <v>0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96">
        <v>0.375</v>
      </c>
      <c r="J33" s="96">
        <v>0.75</v>
      </c>
      <c r="K33" s="71">
        <v>0</v>
      </c>
      <c r="L33" s="68">
        <v>0</v>
      </c>
      <c r="M33" s="29">
        <v>0</v>
      </c>
      <c r="N33" s="29">
        <v>0</v>
      </c>
      <c r="O33" s="68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96">
        <v>0.375</v>
      </c>
      <c r="J34" s="96">
        <v>0.75</v>
      </c>
      <c r="K34" s="71">
        <v>0</v>
      </c>
      <c r="L34" s="68">
        <v>0</v>
      </c>
      <c r="M34" s="29">
        <v>0</v>
      </c>
      <c r="N34" s="29">
        <v>0</v>
      </c>
      <c r="O34" s="68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96">
        <v>0.375</v>
      </c>
      <c r="J35" s="96">
        <v>0.75</v>
      </c>
      <c r="K35" s="71">
        <v>0</v>
      </c>
      <c r="L35" s="68">
        <v>0</v>
      </c>
      <c r="M35" s="29">
        <v>0</v>
      </c>
      <c r="N35" s="29">
        <v>0</v>
      </c>
      <c r="O35" s="68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96">
        <v>0.375</v>
      </c>
      <c r="J37" s="96">
        <v>0.75</v>
      </c>
      <c r="K37" s="71">
        <v>0</v>
      </c>
      <c r="L37" s="68">
        <v>0</v>
      </c>
      <c r="M37" s="29">
        <v>0</v>
      </c>
      <c r="N37" s="29">
        <v>0</v>
      </c>
      <c r="O37" s="68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96">
        <v>0.375</v>
      </c>
      <c r="J38" s="96">
        <v>0.75</v>
      </c>
      <c r="K38" s="71">
        <v>0</v>
      </c>
      <c r="L38" s="68">
        <v>0</v>
      </c>
      <c r="M38" s="29">
        <v>0</v>
      </c>
      <c r="N38" s="29">
        <v>0</v>
      </c>
      <c r="O38" s="68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96">
        <v>0.375</v>
      </c>
      <c r="J39" s="96">
        <v>0.75</v>
      </c>
      <c r="K39" s="71">
        <v>0</v>
      </c>
      <c r="L39" s="68">
        <v>0</v>
      </c>
      <c r="M39" s="29">
        <v>0</v>
      </c>
      <c r="N39" s="29">
        <v>0</v>
      </c>
      <c r="O39" s="68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96">
        <v>0.375</v>
      </c>
      <c r="J40" s="96">
        <v>0.75</v>
      </c>
      <c r="K40" s="71">
        <v>0</v>
      </c>
      <c r="L40" s="68">
        <v>0</v>
      </c>
      <c r="M40" s="29">
        <v>0</v>
      </c>
      <c r="N40" s="29">
        <v>0</v>
      </c>
      <c r="O40" s="68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96">
        <v>0.375</v>
      </c>
      <c r="J41" s="96">
        <v>0.75</v>
      </c>
      <c r="K41" s="71">
        <v>0</v>
      </c>
      <c r="L41" s="68">
        <v>0</v>
      </c>
      <c r="M41" s="29">
        <v>0</v>
      </c>
      <c r="N41" s="29">
        <v>0</v>
      </c>
      <c r="O41" s="68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96">
        <v>0.375</v>
      </c>
      <c r="J42" s="96">
        <v>0.75</v>
      </c>
      <c r="K42" s="71">
        <v>0</v>
      </c>
      <c r="L42" s="68">
        <v>0</v>
      </c>
      <c r="M42" s="29">
        <v>0</v>
      </c>
      <c r="N42" s="29">
        <v>0</v>
      </c>
      <c r="O42" s="68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96">
        <v>0.375</v>
      </c>
      <c r="J44" s="96">
        <v>0.75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96">
        <v>0.375</v>
      </c>
      <c r="J45" s="96">
        <v>0.75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96">
        <v>0.375</v>
      </c>
      <c r="J46" s="96">
        <v>0.75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96">
        <v>0.375</v>
      </c>
      <c r="J47" s="96">
        <v>0.75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96">
        <v>0.375</v>
      </c>
      <c r="J48" s="96">
        <v>0.75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17" x14ac:dyDescent="0.25">
      <c r="D49" s="1"/>
      <c r="E49" s="1"/>
      <c r="F49" s="1"/>
      <c r="G49" s="15">
        <v>28</v>
      </c>
      <c r="H49" s="98" t="s">
        <v>48</v>
      </c>
      <c r="I49" s="99">
        <v>0.375</v>
      </c>
      <c r="J49" s="99">
        <v>0.75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17" ht="24.75" customHeight="1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17" x14ac:dyDescent="0.25">
      <c r="D51" s="1"/>
      <c r="E51" s="1"/>
      <c r="F51" s="1"/>
      <c r="G51" s="15">
        <v>30</v>
      </c>
      <c r="H51" s="98" t="s">
        <v>49</v>
      </c>
      <c r="I51" s="77">
        <v>0.375</v>
      </c>
      <c r="J51" s="77">
        <v>0.75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17" x14ac:dyDescent="0.25">
      <c r="D52" s="1"/>
      <c r="E52" s="1"/>
      <c r="F52" s="1"/>
      <c r="G52" s="15">
        <v>31</v>
      </c>
      <c r="H52" s="98" t="s">
        <v>50</v>
      </c>
      <c r="I52" s="96">
        <v>0.375</v>
      </c>
      <c r="J52" s="96">
        <v>0.75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17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57">
        <f>SUM(M22:M52)</f>
        <v>0</v>
      </c>
      <c r="N53" s="57">
        <f>SUM(N22:N52)</f>
        <v>0</v>
      </c>
      <c r="O53" s="97">
        <v>0</v>
      </c>
    </row>
    <row r="55" spans="4:17" ht="21" x14ac:dyDescent="0.35">
      <c r="E55" s="2" t="s">
        <v>114</v>
      </c>
      <c r="H55" s="39" t="s">
        <v>0</v>
      </c>
      <c r="I55" s="107" t="str">
        <f>H19</f>
        <v>Bilal Incharge</v>
      </c>
      <c r="J55" s="107"/>
      <c r="K55" s="107"/>
      <c r="L55" s="107"/>
      <c r="M55" s="107"/>
    </row>
    <row r="56" spans="4:17" ht="21" x14ac:dyDescent="0.35">
      <c r="E56" s="2"/>
      <c r="H56" s="39" t="s">
        <v>74</v>
      </c>
      <c r="I56" s="120">
        <f>I14</f>
        <v>25000</v>
      </c>
      <c r="J56" s="120"/>
      <c r="K56" s="120"/>
      <c r="L56" s="120"/>
      <c r="M56" s="120"/>
    </row>
    <row r="57" spans="4:17" ht="21" x14ac:dyDescent="0.35">
      <c r="E57" s="2"/>
      <c r="H57" s="39" t="s">
        <v>54</v>
      </c>
      <c r="I57" s="121">
        <f>L53</f>
        <v>0</v>
      </c>
      <c r="J57" s="121"/>
      <c r="K57" s="106">
        <f>O14</f>
        <v>169</v>
      </c>
      <c r="L57" s="106"/>
      <c r="M57" s="106"/>
    </row>
    <row r="58" spans="4:17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17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</row>
    <row r="60" spans="4:17" ht="21" x14ac:dyDescent="0.35">
      <c r="E60" s="2"/>
      <c r="H60" s="39" t="s">
        <v>3</v>
      </c>
      <c r="I60" s="107">
        <v>1500</v>
      </c>
      <c r="J60" s="107"/>
      <c r="K60" s="107"/>
      <c r="L60" s="107"/>
      <c r="M60" s="107"/>
    </row>
    <row r="61" spans="4:17" ht="21" x14ac:dyDescent="0.35">
      <c r="E61" s="2"/>
      <c r="H61" s="39" t="s">
        <v>77</v>
      </c>
      <c r="I61" s="106">
        <f>I56+K57+I58+I59+I60</f>
        <v>26669</v>
      </c>
      <c r="J61" s="107"/>
      <c r="K61" s="107"/>
      <c r="L61" s="107"/>
      <c r="M61" s="107"/>
    </row>
    <row r="62" spans="4:17" ht="21" x14ac:dyDescent="0.35">
      <c r="E62" s="2"/>
      <c r="H62" s="39" t="s">
        <v>43</v>
      </c>
      <c r="I62" s="128">
        <f>O53</f>
        <v>0</v>
      </c>
      <c r="J62" s="129"/>
      <c r="K62" s="117">
        <f>Q14</f>
        <v>0</v>
      </c>
      <c r="L62" s="119"/>
      <c r="M62" s="118"/>
    </row>
    <row r="63" spans="4:17" ht="21" x14ac:dyDescent="0.35">
      <c r="E63" s="2"/>
      <c r="H63" s="39" t="s">
        <v>75</v>
      </c>
      <c r="I63" s="117">
        <f>L14</f>
        <v>6</v>
      </c>
      <c r="J63" s="118"/>
      <c r="K63" s="117">
        <f>L14*J14</f>
        <v>5000</v>
      </c>
      <c r="L63" s="119"/>
      <c r="M63" s="118"/>
    </row>
    <row r="64" spans="4:17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</row>
    <row r="66" spans="5:49" ht="21" x14ac:dyDescent="0.35">
      <c r="E66" s="2"/>
      <c r="H66" s="40" t="s">
        <v>81</v>
      </c>
      <c r="I66" s="106">
        <f>M14+K57+I58+I59+I60-K62-I64-I65</f>
        <v>21669</v>
      </c>
      <c r="J66" s="107"/>
      <c r="K66" s="107"/>
      <c r="L66" s="107"/>
      <c r="M66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5">
    <mergeCell ref="I43:O43"/>
    <mergeCell ref="H17:N17"/>
    <mergeCell ref="I50:O50"/>
    <mergeCell ref="H53:J53"/>
    <mergeCell ref="AJ77:AW79"/>
    <mergeCell ref="I55:M55"/>
    <mergeCell ref="I56:M56"/>
    <mergeCell ref="I58:M58"/>
    <mergeCell ref="I61:M61"/>
    <mergeCell ref="I57:J57"/>
    <mergeCell ref="K57:M57"/>
    <mergeCell ref="G9:O10"/>
    <mergeCell ref="H19:O19"/>
    <mergeCell ref="I22:O22"/>
    <mergeCell ref="I29:O29"/>
    <mergeCell ref="I36:O36"/>
    <mergeCell ref="I64:M64"/>
    <mergeCell ref="I65:M65"/>
    <mergeCell ref="I66:M66"/>
    <mergeCell ref="I59:M59"/>
    <mergeCell ref="I60:M60"/>
    <mergeCell ref="I62:J62"/>
    <mergeCell ref="K62:M62"/>
    <mergeCell ref="I63:J63"/>
    <mergeCell ref="K63:M63"/>
  </mergeCells>
  <pageMargins left="0.23622047244094488" right="0.23622047244094488" top="1.3385826771653544" bottom="0.74803149606299213" header="0.31496062992125984" footer="0.31496062992125984"/>
  <pageSetup paperSize="9" scale="1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AW83"/>
  <sheetViews>
    <sheetView topLeftCell="A13" workbookViewId="0">
      <selection activeCell="G17" sqref="G17:O68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5703125" customWidth="1"/>
    <col min="15" max="15" width="10" customWidth="1"/>
    <col min="17" max="17" width="9.7109375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1" spans="3:17" x14ac:dyDescent="0.25">
      <c r="K1">
        <v>1.5</v>
      </c>
    </row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103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ht="15" customHeight="1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21" x14ac:dyDescent="0.25">
      <c r="D14" s="1"/>
      <c r="E14" s="1"/>
      <c r="F14" s="1"/>
      <c r="G14" s="9" t="s">
        <v>112</v>
      </c>
      <c r="H14" s="9" t="s">
        <v>113</v>
      </c>
      <c r="I14" s="9">
        <v>22000</v>
      </c>
      <c r="J14" s="9">
        <f>I14/30</f>
        <v>733.33333333333337</v>
      </c>
      <c r="K14" s="9">
        <f>J14/8</f>
        <v>91.666666666666671</v>
      </c>
      <c r="L14" s="9">
        <v>19</v>
      </c>
      <c r="M14" s="9">
        <f>I14-(J14*L14)</f>
        <v>8066.6666666666661</v>
      </c>
      <c r="N14" s="46">
        <v>0.2</v>
      </c>
      <c r="O14" s="47">
        <v>45</v>
      </c>
      <c r="P14" s="59">
        <v>1.3</v>
      </c>
      <c r="Q14" s="76">
        <v>136.5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22" t="s">
        <v>7</v>
      </c>
      <c r="I17" s="122"/>
      <c r="J17" s="122"/>
      <c r="K17" s="122"/>
      <c r="L17" s="122"/>
      <c r="M17" s="122"/>
      <c r="N17" s="122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G12</f>
        <v>Name</v>
      </c>
      <c r="H19" s="123" t="str">
        <f>G14</f>
        <v>Sadiq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  <c r="P20" s="1"/>
      <c r="Q20" s="1"/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  <c r="P21" s="1"/>
      <c r="Q21" s="1"/>
    </row>
    <row r="22" spans="4:17" x14ac:dyDescent="0.25">
      <c r="D22" s="1"/>
      <c r="E22" s="1"/>
      <c r="F22" s="1"/>
      <c r="G22" s="2">
        <v>1</v>
      </c>
      <c r="H22" s="69" t="s">
        <v>44</v>
      </c>
      <c r="I22" s="133" t="s">
        <v>52</v>
      </c>
      <c r="J22" s="134"/>
      <c r="K22" s="134"/>
      <c r="L22" s="134"/>
      <c r="M22" s="134"/>
      <c r="N22" s="134"/>
      <c r="O22" s="135"/>
      <c r="P22" s="1"/>
      <c r="Q22" s="1"/>
    </row>
    <row r="23" spans="4:17" x14ac:dyDescent="0.25">
      <c r="D23" s="1"/>
      <c r="E23" s="1"/>
      <c r="F23" s="1"/>
      <c r="G23" s="15">
        <v>2</v>
      </c>
      <c r="H23" s="146" t="s">
        <v>49</v>
      </c>
      <c r="I23" s="147">
        <v>0.33333333333333331</v>
      </c>
      <c r="J23" s="147">
        <v>0.625</v>
      </c>
      <c r="K23" s="100">
        <v>0</v>
      </c>
      <c r="L23" s="80">
        <v>0</v>
      </c>
      <c r="M23" s="101">
        <v>0</v>
      </c>
      <c r="N23" s="101">
        <v>0</v>
      </c>
      <c r="O23" s="102">
        <v>0</v>
      </c>
      <c r="P23" s="1"/>
      <c r="Q23" s="1"/>
    </row>
    <row r="24" spans="4:17" x14ac:dyDescent="0.25">
      <c r="D24" s="1"/>
      <c r="E24" s="1"/>
      <c r="F24" s="1"/>
      <c r="G24" s="15">
        <v>3</v>
      </c>
      <c r="H24" s="70" t="s">
        <v>50</v>
      </c>
      <c r="I24" s="73">
        <v>0.33333333333333331</v>
      </c>
      <c r="J24" s="73">
        <v>0.63888888888888895</v>
      </c>
      <c r="K24" s="71">
        <v>0</v>
      </c>
      <c r="L24" s="68">
        <v>0.2</v>
      </c>
      <c r="M24" s="29">
        <v>0</v>
      </c>
      <c r="N24" s="29">
        <v>0</v>
      </c>
      <c r="O24" s="20">
        <v>0</v>
      </c>
      <c r="P24" s="1"/>
      <c r="Q24" s="1"/>
    </row>
    <row r="25" spans="4:17" x14ac:dyDescent="0.25">
      <c r="D25" s="1"/>
      <c r="E25" s="1"/>
      <c r="F25" s="1"/>
      <c r="G25" s="15">
        <v>4</v>
      </c>
      <c r="H25" s="98" t="s">
        <v>51</v>
      </c>
      <c r="I25" s="73">
        <v>0.33333333333333331</v>
      </c>
      <c r="J25" s="73">
        <v>0.625</v>
      </c>
      <c r="K25" s="71">
        <v>0</v>
      </c>
      <c r="L25" s="68">
        <v>0</v>
      </c>
      <c r="M25" s="29">
        <v>0</v>
      </c>
      <c r="N25" s="29">
        <v>0</v>
      </c>
      <c r="O25" s="20">
        <v>0</v>
      </c>
      <c r="P25" s="1"/>
      <c r="Q25" s="1"/>
    </row>
    <row r="26" spans="4:17" x14ac:dyDescent="0.25">
      <c r="D26" s="1"/>
      <c r="E26" s="1"/>
      <c r="F26" s="1"/>
      <c r="G26" s="15">
        <v>5</v>
      </c>
      <c r="H26" s="70" t="s">
        <v>46</v>
      </c>
      <c r="I26" s="73">
        <v>0.33333333333333331</v>
      </c>
      <c r="J26" s="73">
        <v>0.625</v>
      </c>
      <c r="K26" s="71">
        <v>0</v>
      </c>
      <c r="L26" s="68">
        <v>0</v>
      </c>
      <c r="M26" s="29">
        <v>0</v>
      </c>
      <c r="N26" s="29">
        <v>0</v>
      </c>
      <c r="O26" s="20">
        <v>0</v>
      </c>
      <c r="P26" s="1"/>
      <c r="Q26" s="1"/>
    </row>
    <row r="27" spans="4:17" x14ac:dyDescent="0.25">
      <c r="D27" s="1"/>
      <c r="E27" s="1"/>
      <c r="F27" s="1"/>
      <c r="G27" s="15">
        <v>6</v>
      </c>
      <c r="H27" s="98" t="s">
        <v>47</v>
      </c>
      <c r="I27" s="73">
        <v>0.33333333333333331</v>
      </c>
      <c r="J27" s="73">
        <v>0.625</v>
      </c>
      <c r="K27" s="71">
        <v>0</v>
      </c>
      <c r="L27" s="68">
        <v>0</v>
      </c>
      <c r="M27" s="29">
        <v>0</v>
      </c>
      <c r="N27" s="29">
        <v>0</v>
      </c>
      <c r="O27" s="20">
        <v>0</v>
      </c>
      <c r="P27" s="1"/>
      <c r="Q27" s="1"/>
    </row>
    <row r="28" spans="4:17" x14ac:dyDescent="0.25">
      <c r="D28" s="1"/>
      <c r="E28" s="1"/>
      <c r="F28" s="1"/>
      <c r="G28" s="15">
        <v>7</v>
      </c>
      <c r="H28" s="70" t="s">
        <v>48</v>
      </c>
      <c r="I28" s="73">
        <v>0.33333333333333331</v>
      </c>
      <c r="J28" s="73">
        <v>0.625</v>
      </c>
      <c r="K28" s="71">
        <v>0</v>
      </c>
      <c r="L28" s="68">
        <v>0</v>
      </c>
      <c r="M28" s="29">
        <v>0</v>
      </c>
      <c r="N28" s="29">
        <v>0</v>
      </c>
      <c r="O28" s="20">
        <v>0</v>
      </c>
      <c r="P28" s="1"/>
      <c r="Q28" s="1"/>
    </row>
    <row r="29" spans="4:17" x14ac:dyDescent="0.25">
      <c r="D29" s="1"/>
      <c r="E29" s="1"/>
      <c r="F29" s="1"/>
      <c r="G29" s="2">
        <v>8</v>
      </c>
      <c r="H29" s="69" t="s">
        <v>44</v>
      </c>
      <c r="I29" s="133" t="s">
        <v>52</v>
      </c>
      <c r="J29" s="134"/>
      <c r="K29" s="134"/>
      <c r="L29" s="134"/>
      <c r="M29" s="134"/>
      <c r="N29" s="134"/>
      <c r="O29" s="135"/>
      <c r="P29" s="1"/>
      <c r="Q29" s="1"/>
    </row>
    <row r="30" spans="4:17" x14ac:dyDescent="0.25">
      <c r="D30" s="1"/>
      <c r="E30" s="1"/>
      <c r="F30" s="1"/>
      <c r="G30" s="15">
        <v>9</v>
      </c>
      <c r="H30" s="98" t="s">
        <v>49</v>
      </c>
      <c r="I30" s="96">
        <v>0.33333333333333331</v>
      </c>
      <c r="J30" s="96">
        <v>0.625</v>
      </c>
      <c r="K30" s="71">
        <v>0</v>
      </c>
      <c r="L30" s="68">
        <v>0</v>
      </c>
      <c r="M30" s="29">
        <v>0</v>
      </c>
      <c r="N30" s="29">
        <v>0</v>
      </c>
      <c r="O30" s="20">
        <v>0</v>
      </c>
      <c r="P30" s="1"/>
      <c r="Q30" s="1"/>
    </row>
    <row r="31" spans="4:17" x14ac:dyDescent="0.25">
      <c r="D31" s="1"/>
      <c r="E31" s="1"/>
      <c r="F31" s="1"/>
      <c r="G31" s="15">
        <v>10</v>
      </c>
      <c r="H31" s="70" t="s">
        <v>50</v>
      </c>
      <c r="I31" s="96">
        <v>0.33333333333333331</v>
      </c>
      <c r="J31" s="96">
        <v>0.625</v>
      </c>
      <c r="K31" s="71">
        <v>0</v>
      </c>
      <c r="L31" s="68">
        <v>0</v>
      </c>
      <c r="M31" s="29">
        <v>0</v>
      </c>
      <c r="N31" s="29">
        <v>0</v>
      </c>
      <c r="O31" s="20">
        <v>0</v>
      </c>
      <c r="P31" s="1"/>
      <c r="Q31" s="1"/>
    </row>
    <row r="32" spans="4:17" x14ac:dyDescent="0.25">
      <c r="D32" s="1"/>
      <c r="E32" s="1"/>
      <c r="F32" s="1"/>
      <c r="G32" s="15">
        <v>11</v>
      </c>
      <c r="H32" s="98" t="s">
        <v>51</v>
      </c>
      <c r="I32" s="96">
        <v>0.33333333333333331</v>
      </c>
      <c r="J32" s="96">
        <v>0.5625</v>
      </c>
      <c r="K32" s="71">
        <v>0</v>
      </c>
      <c r="L32" s="68">
        <v>0</v>
      </c>
      <c r="M32" s="29">
        <v>0</v>
      </c>
      <c r="N32" s="29">
        <v>0</v>
      </c>
      <c r="O32" s="20">
        <v>1.3</v>
      </c>
      <c r="P32" s="1"/>
      <c r="Q32" s="1"/>
    </row>
    <row r="33" spans="3:17" x14ac:dyDescent="0.25">
      <c r="D33" s="1"/>
      <c r="E33" s="1"/>
      <c r="F33" s="1"/>
      <c r="G33" s="15">
        <v>12</v>
      </c>
      <c r="H33" s="70" t="s">
        <v>46</v>
      </c>
      <c r="I33" s="37">
        <v>0</v>
      </c>
      <c r="J33" s="37">
        <v>0</v>
      </c>
      <c r="K33" s="71">
        <v>0</v>
      </c>
      <c r="L33" s="68">
        <v>0</v>
      </c>
      <c r="M33" s="29">
        <v>0</v>
      </c>
      <c r="N33" s="29">
        <v>0</v>
      </c>
      <c r="O33" s="20">
        <v>0</v>
      </c>
      <c r="P33" s="1"/>
      <c r="Q33" s="1"/>
    </row>
    <row r="34" spans="3:17" x14ac:dyDescent="0.25">
      <c r="D34" s="1"/>
      <c r="E34" s="1"/>
      <c r="F34" s="1"/>
      <c r="G34" s="15">
        <v>13</v>
      </c>
      <c r="H34" s="98" t="s">
        <v>47</v>
      </c>
      <c r="I34" s="37">
        <v>0</v>
      </c>
      <c r="J34" s="37">
        <v>0</v>
      </c>
      <c r="K34" s="71">
        <v>0</v>
      </c>
      <c r="L34" s="68">
        <v>0</v>
      </c>
      <c r="M34" s="29">
        <v>0</v>
      </c>
      <c r="N34" s="29">
        <v>0</v>
      </c>
      <c r="O34" s="20">
        <v>0</v>
      </c>
      <c r="P34" s="1"/>
      <c r="Q34" s="1"/>
    </row>
    <row r="35" spans="3:17" x14ac:dyDescent="0.25">
      <c r="D35" s="1"/>
      <c r="E35" s="1"/>
      <c r="F35" s="1"/>
      <c r="G35" s="15">
        <v>14</v>
      </c>
      <c r="H35" s="70" t="s">
        <v>48</v>
      </c>
      <c r="I35" s="37">
        <v>0</v>
      </c>
      <c r="J35" s="37">
        <v>0</v>
      </c>
      <c r="K35" s="71">
        <v>0</v>
      </c>
      <c r="L35" s="68">
        <v>0</v>
      </c>
      <c r="M35" s="29">
        <v>0</v>
      </c>
      <c r="N35" s="29">
        <v>0</v>
      </c>
      <c r="O35" s="20">
        <v>0</v>
      </c>
      <c r="P35" s="1"/>
      <c r="Q35" s="1"/>
    </row>
    <row r="36" spans="3:17" x14ac:dyDescent="0.25">
      <c r="D36" s="1"/>
      <c r="E36" s="1"/>
      <c r="F36" s="1"/>
      <c r="G36" s="2">
        <v>15</v>
      </c>
      <c r="H36" s="69" t="s">
        <v>44</v>
      </c>
      <c r="I36" s="133" t="s">
        <v>52</v>
      </c>
      <c r="J36" s="134"/>
      <c r="K36" s="134"/>
      <c r="L36" s="134"/>
      <c r="M36" s="134"/>
      <c r="N36" s="134"/>
      <c r="O36" s="135"/>
      <c r="P36" s="1"/>
      <c r="Q36" s="1"/>
    </row>
    <row r="37" spans="3:17" x14ac:dyDescent="0.25">
      <c r="D37" s="1"/>
      <c r="E37" s="1"/>
      <c r="F37" s="1"/>
      <c r="G37" s="15">
        <v>16</v>
      </c>
      <c r="H37" s="98" t="s">
        <v>49</v>
      </c>
      <c r="I37" s="37">
        <v>0</v>
      </c>
      <c r="J37" s="37">
        <v>0</v>
      </c>
      <c r="K37" s="71">
        <v>0</v>
      </c>
      <c r="L37" s="68">
        <v>0</v>
      </c>
      <c r="M37" s="29">
        <v>0</v>
      </c>
      <c r="N37" s="29">
        <v>0</v>
      </c>
      <c r="O37" s="20">
        <v>0</v>
      </c>
      <c r="P37" s="1"/>
      <c r="Q37" s="1"/>
    </row>
    <row r="38" spans="3:17" x14ac:dyDescent="0.25">
      <c r="D38" s="1"/>
      <c r="E38" s="1"/>
      <c r="F38" s="1"/>
      <c r="G38" s="15">
        <v>17</v>
      </c>
      <c r="H38" s="70" t="s">
        <v>50</v>
      </c>
      <c r="I38" s="37">
        <v>0</v>
      </c>
      <c r="J38" s="37">
        <v>0</v>
      </c>
      <c r="K38" s="71">
        <v>0</v>
      </c>
      <c r="L38" s="68">
        <v>0</v>
      </c>
      <c r="M38" s="29">
        <v>0</v>
      </c>
      <c r="N38" s="29">
        <v>0</v>
      </c>
      <c r="O38" s="20">
        <v>0</v>
      </c>
      <c r="P38" s="1"/>
      <c r="Q38" s="1"/>
    </row>
    <row r="39" spans="3:17" x14ac:dyDescent="0.25">
      <c r="D39" s="1"/>
      <c r="E39" s="1"/>
      <c r="F39" s="1"/>
      <c r="G39" s="15">
        <v>18</v>
      </c>
      <c r="H39" s="98" t="s">
        <v>51</v>
      </c>
      <c r="I39" s="37">
        <v>0</v>
      </c>
      <c r="J39" s="37">
        <v>0</v>
      </c>
      <c r="K39" s="71">
        <v>0</v>
      </c>
      <c r="L39" s="68">
        <v>0</v>
      </c>
      <c r="M39" s="29">
        <v>0</v>
      </c>
      <c r="N39" s="29">
        <v>0</v>
      </c>
      <c r="O39" s="20">
        <v>0</v>
      </c>
      <c r="P39" s="1"/>
      <c r="Q39" s="1"/>
    </row>
    <row r="40" spans="3:17" x14ac:dyDescent="0.25">
      <c r="D40" s="1"/>
      <c r="E40" s="1"/>
      <c r="F40" s="1"/>
      <c r="G40" s="15">
        <v>19</v>
      </c>
      <c r="H40" s="70" t="s">
        <v>46</v>
      </c>
      <c r="I40" s="37">
        <v>0</v>
      </c>
      <c r="J40" s="37">
        <v>0</v>
      </c>
      <c r="K40" s="71">
        <v>0</v>
      </c>
      <c r="L40" s="68">
        <v>0</v>
      </c>
      <c r="M40" s="29">
        <v>0</v>
      </c>
      <c r="N40" s="29">
        <v>0</v>
      </c>
      <c r="O40" s="20">
        <v>0</v>
      </c>
      <c r="P40" s="1"/>
      <c r="Q40" s="1"/>
    </row>
    <row r="41" spans="3:17" x14ac:dyDescent="0.25">
      <c r="D41" s="1"/>
      <c r="E41" s="1"/>
      <c r="F41" s="1"/>
      <c r="G41" s="15">
        <v>20</v>
      </c>
      <c r="H41" s="98" t="s">
        <v>47</v>
      </c>
      <c r="I41" s="37">
        <v>0</v>
      </c>
      <c r="J41" s="37">
        <v>0</v>
      </c>
      <c r="K41" s="71">
        <v>0</v>
      </c>
      <c r="L41" s="68">
        <v>0</v>
      </c>
      <c r="M41" s="29">
        <v>0</v>
      </c>
      <c r="N41" s="29">
        <v>0</v>
      </c>
      <c r="O41" s="20">
        <v>0</v>
      </c>
      <c r="P41" s="1"/>
      <c r="Q41" s="1"/>
    </row>
    <row r="42" spans="3:17" x14ac:dyDescent="0.25">
      <c r="C42" t="s">
        <v>63</v>
      </c>
      <c r="D42" s="1"/>
      <c r="E42" s="1"/>
      <c r="F42" s="1"/>
      <c r="G42" s="15">
        <v>21</v>
      </c>
      <c r="H42" s="70" t="s">
        <v>48</v>
      </c>
      <c r="I42" s="37">
        <v>0</v>
      </c>
      <c r="J42" s="37">
        <v>0</v>
      </c>
      <c r="K42" s="71">
        <v>0</v>
      </c>
      <c r="L42" s="68">
        <v>0</v>
      </c>
      <c r="M42" s="29">
        <v>0</v>
      </c>
      <c r="N42" s="29">
        <v>0</v>
      </c>
      <c r="O42" s="20">
        <v>0</v>
      </c>
      <c r="P42" s="1"/>
      <c r="Q42" s="1"/>
    </row>
    <row r="43" spans="3:17" x14ac:dyDescent="0.25">
      <c r="D43" s="1"/>
      <c r="E43" s="1"/>
      <c r="F43" s="1"/>
      <c r="G43" s="2">
        <v>22</v>
      </c>
      <c r="H43" s="27" t="s">
        <v>44</v>
      </c>
      <c r="I43" s="133" t="s">
        <v>52</v>
      </c>
      <c r="J43" s="134"/>
      <c r="K43" s="134"/>
      <c r="L43" s="134"/>
      <c r="M43" s="134"/>
      <c r="N43" s="134"/>
      <c r="O43" s="135"/>
      <c r="P43" s="1"/>
      <c r="Q43" s="1"/>
    </row>
    <row r="44" spans="3:17" x14ac:dyDescent="0.25">
      <c r="D44" s="1"/>
      <c r="E44" s="1"/>
      <c r="F44" s="1"/>
      <c r="G44" s="15">
        <v>23</v>
      </c>
      <c r="H44" s="98" t="s">
        <v>49</v>
      </c>
      <c r="I44" s="37">
        <v>0</v>
      </c>
      <c r="J44" s="37">
        <v>0</v>
      </c>
      <c r="K44" s="100">
        <v>0</v>
      </c>
      <c r="L44" s="80">
        <v>0</v>
      </c>
      <c r="M44" s="101">
        <v>0</v>
      </c>
      <c r="N44" s="101">
        <v>0</v>
      </c>
      <c r="O44" s="102">
        <v>0</v>
      </c>
      <c r="P44" s="1"/>
      <c r="Q44" s="1"/>
    </row>
    <row r="45" spans="3:17" x14ac:dyDescent="0.25">
      <c r="D45" s="1"/>
      <c r="E45" s="1"/>
      <c r="F45" s="1" t="s">
        <v>63</v>
      </c>
      <c r="G45" s="15">
        <v>24</v>
      </c>
      <c r="H45" s="70" t="s">
        <v>50</v>
      </c>
      <c r="I45" s="37">
        <v>0</v>
      </c>
      <c r="J45" s="37">
        <v>0</v>
      </c>
      <c r="K45" s="71">
        <v>0</v>
      </c>
      <c r="L45" s="68">
        <v>0</v>
      </c>
      <c r="M45" s="29">
        <v>0</v>
      </c>
      <c r="N45" s="29">
        <v>0</v>
      </c>
      <c r="O45" s="20">
        <v>0</v>
      </c>
      <c r="P45" s="1"/>
      <c r="Q45" s="1"/>
    </row>
    <row r="46" spans="3:17" x14ac:dyDescent="0.25">
      <c r="D46" s="1"/>
      <c r="E46" s="1"/>
      <c r="F46" s="1"/>
      <c r="G46" s="15">
        <v>25</v>
      </c>
      <c r="H46" s="98" t="s">
        <v>51</v>
      </c>
      <c r="I46" s="37">
        <v>0</v>
      </c>
      <c r="J46" s="37">
        <v>0</v>
      </c>
      <c r="K46" s="71">
        <v>0</v>
      </c>
      <c r="L46" s="68">
        <v>0</v>
      </c>
      <c r="M46" s="29">
        <v>0</v>
      </c>
      <c r="N46" s="29">
        <v>0</v>
      </c>
      <c r="O46" s="20">
        <v>0</v>
      </c>
      <c r="P46" s="1"/>
      <c r="Q46" s="1"/>
    </row>
    <row r="47" spans="3:17" x14ac:dyDescent="0.25">
      <c r="D47" s="1"/>
      <c r="E47" s="1"/>
      <c r="F47" s="1"/>
      <c r="G47" s="15">
        <v>26</v>
      </c>
      <c r="H47" s="70" t="s">
        <v>46</v>
      </c>
      <c r="I47" s="37">
        <v>0</v>
      </c>
      <c r="J47" s="37">
        <v>0</v>
      </c>
      <c r="K47" s="71">
        <v>0</v>
      </c>
      <c r="L47" s="68">
        <v>0</v>
      </c>
      <c r="M47" s="29">
        <v>0</v>
      </c>
      <c r="N47" s="29">
        <v>0</v>
      </c>
      <c r="O47" s="20">
        <v>0</v>
      </c>
      <c r="P47" s="1"/>
      <c r="Q47" s="1"/>
    </row>
    <row r="48" spans="3:17" x14ac:dyDescent="0.25">
      <c r="D48" s="1"/>
      <c r="E48" s="1"/>
      <c r="F48" s="1"/>
      <c r="G48" s="15">
        <v>27</v>
      </c>
      <c r="H48" s="98" t="s">
        <v>47</v>
      </c>
      <c r="I48" s="37">
        <v>0</v>
      </c>
      <c r="J48" s="37">
        <v>0</v>
      </c>
      <c r="K48" s="71">
        <v>0</v>
      </c>
      <c r="L48" s="68">
        <v>0</v>
      </c>
      <c r="M48" s="29">
        <v>0</v>
      </c>
      <c r="N48" s="29">
        <v>0</v>
      </c>
      <c r="O48" s="20">
        <v>0</v>
      </c>
      <c r="P48" s="1"/>
      <c r="Q48" s="1"/>
    </row>
    <row r="49" spans="4:20" x14ac:dyDescent="0.25">
      <c r="D49" s="1"/>
      <c r="E49" s="1"/>
      <c r="F49" s="1"/>
      <c r="G49" s="15">
        <v>28</v>
      </c>
      <c r="H49" s="98" t="s">
        <v>48</v>
      </c>
      <c r="I49" s="37">
        <v>0</v>
      </c>
      <c r="J49" s="37">
        <v>0</v>
      </c>
      <c r="K49" s="71">
        <v>0</v>
      </c>
      <c r="L49" s="68">
        <v>0</v>
      </c>
      <c r="M49" s="29">
        <v>0</v>
      </c>
      <c r="N49" s="29">
        <v>0</v>
      </c>
      <c r="O49" s="20">
        <v>0</v>
      </c>
      <c r="P49" s="1"/>
      <c r="Q49" s="1"/>
    </row>
    <row r="50" spans="4:20" x14ac:dyDescent="0.25">
      <c r="D50" s="1"/>
      <c r="E50" s="1"/>
      <c r="F50" s="1"/>
      <c r="G50" s="2">
        <v>29</v>
      </c>
      <c r="H50" s="27" t="s">
        <v>44</v>
      </c>
      <c r="I50" s="133" t="s">
        <v>52</v>
      </c>
      <c r="J50" s="134"/>
      <c r="K50" s="134"/>
      <c r="L50" s="134"/>
      <c r="M50" s="134"/>
      <c r="N50" s="134"/>
      <c r="O50" s="135"/>
      <c r="P50" s="1"/>
      <c r="Q50" s="1"/>
    </row>
    <row r="51" spans="4:20" x14ac:dyDescent="0.25">
      <c r="D51" s="1"/>
      <c r="E51" s="1"/>
      <c r="F51" s="1"/>
      <c r="G51" s="15">
        <v>30</v>
      </c>
      <c r="H51" s="98" t="s">
        <v>49</v>
      </c>
      <c r="I51" s="37">
        <v>0</v>
      </c>
      <c r="J51" s="37">
        <v>0</v>
      </c>
      <c r="K51" s="71">
        <v>0</v>
      </c>
      <c r="L51" s="68">
        <v>0</v>
      </c>
      <c r="M51" s="29">
        <v>0</v>
      </c>
      <c r="N51" s="29">
        <v>0</v>
      </c>
      <c r="O51" s="20">
        <v>0</v>
      </c>
    </row>
    <row r="52" spans="4:20" x14ac:dyDescent="0.25">
      <c r="D52" s="1"/>
      <c r="E52" s="1"/>
      <c r="F52" s="1"/>
      <c r="G52" s="15">
        <v>31</v>
      </c>
      <c r="H52" s="98" t="s">
        <v>50</v>
      </c>
      <c r="I52" s="37">
        <v>0</v>
      </c>
      <c r="J52" s="37">
        <v>0</v>
      </c>
      <c r="K52" s="103">
        <v>0</v>
      </c>
      <c r="L52" s="58">
        <v>0</v>
      </c>
      <c r="M52" s="54">
        <v>0</v>
      </c>
      <c r="N52" s="54">
        <v>0</v>
      </c>
      <c r="O52" s="82">
        <v>0</v>
      </c>
    </row>
    <row r="53" spans="4:20" ht="26.25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0.2</v>
      </c>
      <c r="M53" s="57">
        <f>SUM(M22:M52)</f>
        <v>0</v>
      </c>
      <c r="N53" s="57">
        <f>SUM(N22:N52)</f>
        <v>0</v>
      </c>
      <c r="O53" s="37">
        <v>1.3</v>
      </c>
      <c r="P53" s="85"/>
      <c r="Q53" s="85"/>
      <c r="R53" s="85"/>
      <c r="S53" s="85"/>
    </row>
    <row r="55" spans="4:20" ht="21" x14ac:dyDescent="0.35">
      <c r="E55" s="2" t="s">
        <v>114</v>
      </c>
      <c r="H55" s="39" t="s">
        <v>0</v>
      </c>
      <c r="I55" s="107" t="str">
        <f>H19</f>
        <v>Sadiq</v>
      </c>
      <c r="J55" s="107"/>
      <c r="K55" s="107"/>
      <c r="L55" s="107"/>
      <c r="M55" s="107"/>
    </row>
    <row r="56" spans="4:20" ht="21" x14ac:dyDescent="0.35">
      <c r="E56" s="2"/>
      <c r="H56" s="39" t="s">
        <v>74</v>
      </c>
      <c r="I56" s="139" t="s">
        <v>165</v>
      </c>
      <c r="J56" s="140"/>
      <c r="K56" s="139">
        <f>11*J14</f>
        <v>8066.666666666667</v>
      </c>
      <c r="L56" s="141"/>
      <c r="M56" s="140"/>
    </row>
    <row r="57" spans="4:20" ht="21" x14ac:dyDescent="0.35">
      <c r="E57" s="2"/>
      <c r="H57" s="39" t="s">
        <v>54</v>
      </c>
      <c r="I57" s="121">
        <f>L53</f>
        <v>0.2</v>
      </c>
      <c r="J57" s="121"/>
      <c r="K57" s="106">
        <f>O14</f>
        <v>45</v>
      </c>
      <c r="L57" s="106"/>
      <c r="M57" s="106"/>
    </row>
    <row r="58" spans="4:20" ht="21" x14ac:dyDescent="0.35">
      <c r="E58" s="2"/>
      <c r="H58" s="39" t="s">
        <v>32</v>
      </c>
      <c r="I58" s="107">
        <f>M53</f>
        <v>0</v>
      </c>
      <c r="J58" s="107"/>
      <c r="K58" s="107"/>
      <c r="L58" s="107"/>
      <c r="M58" s="107"/>
    </row>
    <row r="59" spans="4:20" ht="21" x14ac:dyDescent="0.35">
      <c r="E59" s="2"/>
      <c r="H59" s="39" t="s">
        <v>5</v>
      </c>
      <c r="I59" s="107">
        <f>N53</f>
        <v>0</v>
      </c>
      <c r="J59" s="107"/>
      <c r="K59" s="107"/>
      <c r="L59" s="107"/>
      <c r="M59" s="107"/>
      <c r="P59" s="84"/>
      <c r="Q59" s="84"/>
      <c r="R59" s="84"/>
      <c r="S59" s="84"/>
      <c r="T59" s="84"/>
    </row>
    <row r="60" spans="4:20" ht="21" x14ac:dyDescent="0.35">
      <c r="E60" s="2"/>
      <c r="H60" s="39" t="s">
        <v>3</v>
      </c>
      <c r="I60" s="107">
        <f>11*50</f>
        <v>550</v>
      </c>
      <c r="J60" s="107"/>
      <c r="K60" s="107"/>
      <c r="L60" s="107"/>
      <c r="M60" s="107"/>
      <c r="P60" s="85"/>
      <c r="Q60" s="85"/>
      <c r="R60" s="85"/>
      <c r="S60" s="85"/>
      <c r="T60" s="85"/>
    </row>
    <row r="61" spans="4:20" ht="21" x14ac:dyDescent="0.35">
      <c r="E61" s="2"/>
      <c r="H61" s="39" t="s">
        <v>77</v>
      </c>
      <c r="I61" s="106">
        <f>K56+K57+I58+I59+I60</f>
        <v>8661.6666666666679</v>
      </c>
      <c r="J61" s="107"/>
      <c r="K61" s="107"/>
      <c r="L61" s="107"/>
      <c r="M61" s="107"/>
      <c r="P61" s="86"/>
      <c r="Q61" s="86"/>
      <c r="R61" s="87"/>
      <c r="S61" s="87"/>
      <c r="T61" s="87"/>
    </row>
    <row r="62" spans="4:20" ht="21" x14ac:dyDescent="0.35">
      <c r="E62" s="2"/>
      <c r="H62" s="39" t="s">
        <v>43</v>
      </c>
      <c r="I62" s="128">
        <f>O53</f>
        <v>1.3</v>
      </c>
      <c r="J62" s="129"/>
      <c r="K62" s="117">
        <f>Q14</f>
        <v>136.5</v>
      </c>
      <c r="L62" s="119"/>
      <c r="M62" s="118"/>
      <c r="P62" s="84"/>
      <c r="Q62" s="84"/>
      <c r="R62" s="84"/>
      <c r="S62" s="84"/>
      <c r="T62" s="84"/>
    </row>
    <row r="63" spans="4:20" ht="21" x14ac:dyDescent="0.35">
      <c r="E63" s="2"/>
      <c r="H63" s="39" t="s">
        <v>75</v>
      </c>
      <c r="I63" s="117">
        <v>0</v>
      </c>
      <c r="J63" s="118"/>
      <c r="K63" s="117">
        <v>0</v>
      </c>
      <c r="L63" s="119"/>
      <c r="M63" s="118"/>
      <c r="P63" s="84"/>
      <c r="Q63" s="84"/>
      <c r="R63" s="84"/>
      <c r="S63" s="84"/>
      <c r="T63" s="84"/>
    </row>
    <row r="64" spans="4:20" ht="21" x14ac:dyDescent="0.35">
      <c r="E64" s="2"/>
      <c r="H64" s="39" t="s">
        <v>4</v>
      </c>
      <c r="I64" s="117">
        <f>SUM(E56:E66)</f>
        <v>0</v>
      </c>
      <c r="J64" s="119"/>
      <c r="K64" s="119"/>
      <c r="L64" s="119"/>
      <c r="M64" s="118"/>
      <c r="P64" s="84"/>
      <c r="Q64" s="84"/>
      <c r="R64" s="84"/>
      <c r="S64" s="84"/>
      <c r="T64" s="84"/>
    </row>
    <row r="65" spans="5:49" ht="21" x14ac:dyDescent="0.35">
      <c r="E65" s="2"/>
      <c r="H65" s="40" t="s">
        <v>76</v>
      </c>
      <c r="I65" s="117">
        <v>0</v>
      </c>
      <c r="J65" s="119"/>
      <c r="K65" s="119"/>
      <c r="L65" s="119"/>
      <c r="M65" s="118"/>
      <c r="P65" s="87"/>
      <c r="Q65" s="87"/>
      <c r="R65" s="87"/>
      <c r="S65" s="87"/>
      <c r="T65" s="87"/>
    </row>
    <row r="66" spans="5:49" ht="21" x14ac:dyDescent="0.35">
      <c r="E66" s="2"/>
      <c r="H66" s="40" t="s">
        <v>81</v>
      </c>
      <c r="I66" s="106">
        <f>M14+K57+I58+I59+I60-K62-I64-I65</f>
        <v>8525.1666666666661</v>
      </c>
      <c r="J66" s="107"/>
      <c r="K66" s="107"/>
      <c r="L66" s="107"/>
      <c r="M66" s="107"/>
    </row>
    <row r="67" spans="5:49" ht="21" x14ac:dyDescent="0.35">
      <c r="H67" s="40" t="s">
        <v>164</v>
      </c>
      <c r="I67" s="107" t="s">
        <v>166</v>
      </c>
      <c r="J67" s="107"/>
      <c r="K67" s="107">
        <v>458</v>
      </c>
      <c r="L67" s="107"/>
      <c r="M67" s="107"/>
    </row>
    <row r="68" spans="5:49" ht="21" x14ac:dyDescent="0.35">
      <c r="H68" s="40" t="s">
        <v>167</v>
      </c>
      <c r="I68" s="106">
        <f>K67+I66</f>
        <v>8983.1666666666661</v>
      </c>
      <c r="J68" s="107"/>
      <c r="K68" s="107"/>
      <c r="L68" s="107"/>
      <c r="M68" s="107"/>
    </row>
    <row r="76" spans="5:49" ht="15.75" thickBot="1" x14ac:dyDescent="0.3"/>
    <row r="77" spans="5:49" x14ac:dyDescent="0.25">
      <c r="AJ77" s="108" t="s">
        <v>11</v>
      </c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10"/>
    </row>
    <row r="78" spans="5:49" x14ac:dyDescent="0.25">
      <c r="AJ78" s="111"/>
      <c r="AK78" s="112"/>
      <c r="AL78" s="112"/>
      <c r="AM78" s="112"/>
      <c r="AN78" s="112"/>
      <c r="AO78" s="112"/>
      <c r="AP78" s="112"/>
      <c r="AQ78" s="112"/>
      <c r="AR78" s="112"/>
      <c r="AS78" s="112"/>
      <c r="AT78" s="112"/>
      <c r="AU78" s="112"/>
      <c r="AV78" s="112"/>
      <c r="AW78" s="113"/>
    </row>
    <row r="79" spans="5:49" ht="15.75" thickBot="1" x14ac:dyDescent="0.3">
      <c r="AJ79" s="114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6"/>
    </row>
    <row r="80" spans="5:49" ht="60.75" thickBot="1" x14ac:dyDescent="0.3">
      <c r="AJ80" s="5" t="s">
        <v>12</v>
      </c>
      <c r="AK80" s="6" t="s">
        <v>13</v>
      </c>
      <c r="AL80" s="6" t="s">
        <v>14</v>
      </c>
      <c r="AM80" s="6" t="s">
        <v>15</v>
      </c>
      <c r="AN80" s="6" t="s">
        <v>16</v>
      </c>
      <c r="AO80" s="6" t="s">
        <v>17</v>
      </c>
      <c r="AP80" s="6" t="s">
        <v>18</v>
      </c>
      <c r="AQ80" s="6" t="s">
        <v>19</v>
      </c>
      <c r="AR80" s="6" t="s">
        <v>20</v>
      </c>
      <c r="AS80" s="6" t="s">
        <v>21</v>
      </c>
      <c r="AT80" s="6" t="s">
        <v>22</v>
      </c>
      <c r="AU80" s="6" t="s">
        <v>23</v>
      </c>
      <c r="AV80" s="6" t="s">
        <v>24</v>
      </c>
      <c r="AW80" s="7" t="s">
        <v>25</v>
      </c>
    </row>
    <row r="81" spans="36:49" x14ac:dyDescent="0.25">
      <c r="AJ81">
        <v>2001</v>
      </c>
      <c r="AK81" t="s">
        <v>26</v>
      </c>
      <c r="AL81" t="s">
        <v>27</v>
      </c>
      <c r="AM81">
        <v>50000</v>
      </c>
      <c r="AN81">
        <v>28</v>
      </c>
      <c r="AO81" s="4">
        <f>AM81/30*AN81</f>
        <v>46666.666666666672</v>
      </c>
      <c r="AP81">
        <v>8000</v>
      </c>
      <c r="AQ81">
        <v>6000</v>
      </c>
      <c r="AR81" s="8">
        <v>60</v>
      </c>
      <c r="AS81">
        <f>AM81/30/8*AR81</f>
        <v>12500</v>
      </c>
      <c r="AT81" s="4">
        <f>AO81+AP81+AQ81+AS81</f>
        <v>73166.666666666672</v>
      </c>
      <c r="AU81">
        <f>AO81*12%</f>
        <v>5600</v>
      </c>
      <c r="AV81">
        <f>AO81*0.75%</f>
        <v>350</v>
      </c>
      <c r="AW81" s="4">
        <f>AT81-AU81-AV81</f>
        <v>67216.666666666672</v>
      </c>
    </row>
    <row r="82" spans="36:49" x14ac:dyDescent="0.25">
      <c r="AJ82">
        <v>2002</v>
      </c>
      <c r="AK82" t="s">
        <v>28</v>
      </c>
      <c r="AL82" t="s">
        <v>29</v>
      </c>
      <c r="AM82">
        <v>35000</v>
      </c>
      <c r="AN82">
        <v>29</v>
      </c>
      <c r="AO82" s="4">
        <f>AM82/30*AN82</f>
        <v>33833.333333333336</v>
      </c>
      <c r="AP82">
        <v>5000</v>
      </c>
      <c r="AQ82">
        <v>5000</v>
      </c>
      <c r="AR82" s="8">
        <v>50</v>
      </c>
      <c r="AS82" s="4">
        <f>AM82/30/8*AR82</f>
        <v>7291.666666666667</v>
      </c>
      <c r="AT82" s="4">
        <f>AO82+AP82+AQ82+AS82</f>
        <v>51125</v>
      </c>
      <c r="AU82">
        <f>AO82*12%</f>
        <v>4060</v>
      </c>
      <c r="AV82" s="4">
        <f>AO82*0.75%</f>
        <v>253.75</v>
      </c>
      <c r="AW82" s="4">
        <f>AT82-AU82-AV82</f>
        <v>46811.25</v>
      </c>
    </row>
    <row r="83" spans="36:49" x14ac:dyDescent="0.25">
      <c r="AO83" s="4"/>
      <c r="AS83" s="4"/>
    </row>
  </sheetData>
  <mergeCells count="29">
    <mergeCell ref="AJ77:AW79"/>
    <mergeCell ref="I58:M58"/>
    <mergeCell ref="I61:M61"/>
    <mergeCell ref="I60:M60"/>
    <mergeCell ref="I62:J62"/>
    <mergeCell ref="K62:M62"/>
    <mergeCell ref="I63:J63"/>
    <mergeCell ref="K63:M63"/>
    <mergeCell ref="I64:M64"/>
    <mergeCell ref="I65:M65"/>
    <mergeCell ref="I67:J67"/>
    <mergeCell ref="K67:M67"/>
    <mergeCell ref="I68:M68"/>
    <mergeCell ref="G9:O10"/>
    <mergeCell ref="H17:N17"/>
    <mergeCell ref="H19:O19"/>
    <mergeCell ref="I43:O43"/>
    <mergeCell ref="I22:O22"/>
    <mergeCell ref="I29:O29"/>
    <mergeCell ref="I36:O36"/>
    <mergeCell ref="I66:M66"/>
    <mergeCell ref="I50:O50"/>
    <mergeCell ref="H53:J53"/>
    <mergeCell ref="I57:J57"/>
    <mergeCell ref="K57:M57"/>
    <mergeCell ref="I59:M59"/>
    <mergeCell ref="I55:M55"/>
    <mergeCell ref="I56:J56"/>
    <mergeCell ref="K56:M56"/>
  </mergeCells>
  <pageMargins left="0" right="0" top="1.3779527559055118" bottom="0.15748031496062992" header="0.31496062992125984" footer="0.31496062992125984"/>
  <pageSetup paperSize="9" scale="1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5:AW86"/>
  <sheetViews>
    <sheetView topLeftCell="A13" workbookViewId="0">
      <selection activeCell="Q39" sqref="Q39"/>
    </sheetView>
  </sheetViews>
  <sheetFormatPr defaultRowHeight="15" x14ac:dyDescent="0.25"/>
  <cols>
    <col min="5" max="5" width="15.5703125" customWidth="1"/>
    <col min="6" max="6" width="15.28515625" bestFit="1" customWidth="1"/>
    <col min="7" max="7" width="14.85546875" bestFit="1" customWidth="1"/>
    <col min="8" max="8" width="15.42578125" bestFit="1" customWidth="1"/>
    <col min="9" max="9" width="16.85546875" customWidth="1"/>
    <col min="10" max="10" width="17.85546875" customWidth="1"/>
    <col min="11" max="11" width="11.42578125" customWidth="1"/>
    <col min="12" max="13" width="13.140625" bestFit="1" customWidth="1"/>
    <col min="14" max="14" width="10.85546875" customWidth="1"/>
    <col min="15" max="15" width="10.28515625" customWidth="1"/>
    <col min="17" max="17" width="10" customWidth="1"/>
    <col min="25" max="25" width="13" bestFit="1" customWidth="1"/>
    <col min="26" max="26" width="11.5703125" bestFit="1" customWidth="1"/>
    <col min="27" max="27" width="13" bestFit="1" customWidth="1"/>
    <col min="28" max="28" width="17.7109375" bestFit="1" customWidth="1"/>
  </cols>
  <sheetData>
    <row r="5" spans="3:17" ht="15" customHeight="1" x14ac:dyDescent="0.25">
      <c r="C5" s="35"/>
      <c r="D5" s="45"/>
      <c r="E5" s="45"/>
      <c r="F5" s="45"/>
      <c r="P5" s="45"/>
      <c r="Q5" s="45"/>
    </row>
    <row r="6" spans="3:17" ht="15" customHeight="1" x14ac:dyDescent="0.25">
      <c r="C6" s="35"/>
      <c r="D6" s="45"/>
      <c r="E6" s="45"/>
      <c r="F6" s="45"/>
      <c r="P6" s="45"/>
      <c r="Q6" s="45"/>
    </row>
    <row r="7" spans="3:17" x14ac:dyDescent="0.25">
      <c r="D7" s="1"/>
      <c r="E7" s="1"/>
      <c r="F7" s="1"/>
      <c r="P7" s="1"/>
      <c r="Q7" s="1"/>
    </row>
    <row r="8" spans="3:17" x14ac:dyDescent="0.25">
      <c r="D8" s="1"/>
      <c r="E8" s="1"/>
      <c r="P8" s="1"/>
      <c r="Q8" s="1"/>
    </row>
    <row r="9" spans="3:17" ht="34.5" customHeight="1" x14ac:dyDescent="0.25">
      <c r="C9" s="35"/>
      <c r="D9" s="35"/>
      <c r="G9" s="122" t="s">
        <v>162</v>
      </c>
      <c r="H9" s="122"/>
      <c r="I9" s="122"/>
      <c r="J9" s="122"/>
      <c r="K9" s="122"/>
      <c r="L9" s="122"/>
      <c r="M9" s="122"/>
      <c r="N9" s="122"/>
      <c r="O9" s="122"/>
      <c r="P9" s="43"/>
      <c r="Q9" s="50"/>
    </row>
    <row r="10" spans="3:17" x14ac:dyDescent="0.25">
      <c r="C10" s="35"/>
      <c r="D10" s="35"/>
      <c r="G10" s="122"/>
      <c r="H10" s="122"/>
      <c r="I10" s="122"/>
      <c r="J10" s="122"/>
      <c r="K10" s="122"/>
      <c r="L10" s="122"/>
      <c r="M10" s="122"/>
      <c r="N10" s="122"/>
      <c r="O10" s="122"/>
      <c r="P10" s="3"/>
      <c r="Q10" s="3"/>
    </row>
    <row r="11" spans="3:17" x14ac:dyDescent="0.25">
      <c r="C11" s="35"/>
      <c r="D11" s="35"/>
      <c r="G11" s="1"/>
      <c r="H11" s="1"/>
      <c r="I11" s="1"/>
      <c r="J11" s="1"/>
      <c r="K11" s="1"/>
      <c r="L11" s="1"/>
      <c r="M11" s="1"/>
      <c r="N11" s="1"/>
      <c r="O11" s="1"/>
      <c r="P11" s="44"/>
      <c r="Q11" s="3"/>
    </row>
    <row r="12" spans="3:17" ht="51.75" x14ac:dyDescent="0.25">
      <c r="D12" s="1"/>
      <c r="E12" s="1"/>
      <c r="F12" s="1"/>
      <c r="G12" s="10" t="s">
        <v>0</v>
      </c>
      <c r="H12" s="12" t="s">
        <v>14</v>
      </c>
      <c r="I12" s="10" t="s">
        <v>30</v>
      </c>
      <c r="J12" s="10" t="s">
        <v>2</v>
      </c>
      <c r="K12" s="10" t="s">
        <v>79</v>
      </c>
      <c r="L12" s="41" t="s">
        <v>75</v>
      </c>
      <c r="M12" s="41" t="s">
        <v>78</v>
      </c>
      <c r="N12" s="11" t="s">
        <v>31</v>
      </c>
      <c r="O12" s="11" t="s">
        <v>82</v>
      </c>
      <c r="P12" s="2" t="s">
        <v>43</v>
      </c>
      <c r="Q12" s="49" t="s">
        <v>83</v>
      </c>
    </row>
    <row r="13" spans="3:17" x14ac:dyDescent="0.25">
      <c r="D13" s="1"/>
      <c r="E13" s="1"/>
      <c r="F13" s="1"/>
      <c r="G13" s="2"/>
      <c r="H13" s="2"/>
      <c r="I13" s="2"/>
      <c r="J13" s="2"/>
      <c r="K13" s="2"/>
      <c r="L13" s="38"/>
      <c r="M13" s="38"/>
      <c r="N13" s="38"/>
      <c r="O13" s="38"/>
      <c r="P13" s="2"/>
      <c r="Q13" s="2"/>
    </row>
    <row r="14" spans="3:17" ht="18.75" x14ac:dyDescent="0.25">
      <c r="D14" s="1"/>
      <c r="E14" s="1"/>
      <c r="F14" s="1"/>
      <c r="G14" s="9" t="s">
        <v>68</v>
      </c>
      <c r="H14" s="9" t="s">
        <v>80</v>
      </c>
      <c r="I14" s="9">
        <v>25000</v>
      </c>
      <c r="J14" s="9">
        <f>I14/30</f>
        <v>833.33333333333337</v>
      </c>
      <c r="K14" s="9">
        <f>J14/8</f>
        <v>104.16666666666667</v>
      </c>
      <c r="L14" s="9">
        <v>24</v>
      </c>
      <c r="M14" s="9">
        <f>I14-(J14*L14)</f>
        <v>5000</v>
      </c>
      <c r="N14" s="46">
        <v>0</v>
      </c>
      <c r="O14" s="47">
        <v>0</v>
      </c>
      <c r="P14" s="37">
        <v>1.1000000000000001</v>
      </c>
      <c r="Q14" s="2">
        <v>121</v>
      </c>
    </row>
    <row r="15" spans="3:17" x14ac:dyDescent="0.25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3:17" x14ac:dyDescent="0.25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4:17" ht="27" customHeight="1" x14ac:dyDescent="0.25">
      <c r="D17" s="1"/>
      <c r="E17" s="1"/>
      <c r="F17" s="1"/>
      <c r="G17" s="1"/>
      <c r="H17" s="143" t="s">
        <v>7</v>
      </c>
      <c r="I17" s="144"/>
      <c r="J17" s="144"/>
      <c r="K17" s="144"/>
      <c r="L17" s="144"/>
      <c r="M17" s="145"/>
      <c r="N17" s="1"/>
      <c r="O17" s="1"/>
      <c r="P17" s="1"/>
      <c r="Q17" s="1"/>
    </row>
    <row r="18" spans="4:17" x14ac:dyDescent="0.2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4:17" ht="22.5" customHeight="1" x14ac:dyDescent="0.25">
      <c r="D19" s="1"/>
      <c r="E19" s="1"/>
      <c r="F19" s="1"/>
      <c r="G19" s="9" t="str">
        <f>G14</f>
        <v>Sohail</v>
      </c>
      <c r="H19" s="123" t="str">
        <f>G14</f>
        <v>Sohail</v>
      </c>
      <c r="I19" s="124"/>
      <c r="J19" s="124"/>
      <c r="K19" s="124"/>
      <c r="L19" s="124"/>
      <c r="M19" s="124"/>
      <c r="N19" s="124"/>
      <c r="O19" s="125"/>
      <c r="P19" s="1"/>
      <c r="Q19" s="1"/>
    </row>
    <row r="20" spans="4:17" ht="18.75" x14ac:dyDescent="0.25">
      <c r="D20" s="1"/>
      <c r="E20" s="1"/>
      <c r="F20" s="1"/>
      <c r="G20" s="2" t="s">
        <v>45</v>
      </c>
      <c r="H20" s="26" t="s">
        <v>10</v>
      </c>
      <c r="I20" s="23" t="s">
        <v>8</v>
      </c>
      <c r="J20" s="23" t="s">
        <v>9</v>
      </c>
      <c r="K20" s="25" t="s">
        <v>53</v>
      </c>
      <c r="L20" s="25" t="s">
        <v>54</v>
      </c>
      <c r="M20" s="24" t="s">
        <v>32</v>
      </c>
      <c r="N20" s="16" t="s">
        <v>5</v>
      </c>
      <c r="O20" s="16" t="s">
        <v>43</v>
      </c>
    </row>
    <row r="21" spans="4:17" x14ac:dyDescent="0.25">
      <c r="D21" s="1"/>
      <c r="E21" s="1"/>
      <c r="F21" s="1"/>
      <c r="G21" s="15"/>
      <c r="H21" s="18"/>
      <c r="I21" s="14"/>
      <c r="J21" s="14"/>
      <c r="K21" s="13"/>
      <c r="L21" s="13"/>
      <c r="M21" s="13"/>
      <c r="N21" s="13"/>
      <c r="O21" s="13"/>
    </row>
    <row r="22" spans="4:17" x14ac:dyDescent="0.25">
      <c r="D22" s="1"/>
      <c r="E22" s="1"/>
      <c r="F22" s="1"/>
      <c r="G22" s="22">
        <v>1</v>
      </c>
      <c r="H22" t="s">
        <v>44</v>
      </c>
      <c r="I22" s="142" t="s">
        <v>52</v>
      </c>
      <c r="J22" s="142"/>
      <c r="K22" s="142"/>
      <c r="L22" s="142"/>
      <c r="M22" s="142"/>
      <c r="N22" s="142"/>
      <c r="O22" s="142"/>
    </row>
    <row r="23" spans="4:17" x14ac:dyDescent="0.25">
      <c r="D23" s="1"/>
      <c r="E23" s="1"/>
      <c r="F23" s="1"/>
      <c r="G23" s="22">
        <v>2</v>
      </c>
      <c r="H23" t="s">
        <v>49</v>
      </c>
      <c r="I23" s="75">
        <v>0.35069444444444442</v>
      </c>
      <c r="J23" s="75">
        <v>0.62847222222222221</v>
      </c>
      <c r="K23" s="20">
        <v>0</v>
      </c>
      <c r="L23" s="20">
        <v>0</v>
      </c>
      <c r="M23" s="15">
        <v>0</v>
      </c>
      <c r="N23" s="15">
        <v>0</v>
      </c>
      <c r="O23" s="20">
        <v>0.2</v>
      </c>
    </row>
    <row r="24" spans="4:17" x14ac:dyDescent="0.25">
      <c r="D24" s="1"/>
      <c r="E24" s="1"/>
      <c r="F24" s="1"/>
      <c r="G24" s="22">
        <v>3</v>
      </c>
      <c r="H24" t="s">
        <v>50</v>
      </c>
      <c r="I24" s="73">
        <v>0.35416666666666669</v>
      </c>
      <c r="J24" s="73">
        <v>0.625</v>
      </c>
      <c r="K24" s="20">
        <v>0</v>
      </c>
      <c r="L24" s="20">
        <v>0</v>
      </c>
      <c r="M24" s="15">
        <v>0</v>
      </c>
      <c r="N24" s="15">
        <v>0</v>
      </c>
      <c r="O24" s="20">
        <v>0.3</v>
      </c>
      <c r="P24" t="s">
        <v>63</v>
      </c>
    </row>
    <row r="25" spans="4:17" x14ac:dyDescent="0.25">
      <c r="D25" s="1"/>
      <c r="E25" s="1"/>
      <c r="F25" s="1" t="s">
        <v>63</v>
      </c>
      <c r="G25" s="15">
        <v>4</v>
      </c>
      <c r="H25" t="s">
        <v>51</v>
      </c>
      <c r="I25" s="73">
        <v>0.34375</v>
      </c>
      <c r="J25" s="73">
        <v>0.62847222222222221</v>
      </c>
      <c r="K25" s="20">
        <v>0</v>
      </c>
      <c r="L25" s="20">
        <v>0</v>
      </c>
      <c r="M25" s="15">
        <v>0</v>
      </c>
      <c r="N25" s="15">
        <v>0</v>
      </c>
      <c r="O25" s="20">
        <v>0.1</v>
      </c>
    </row>
    <row r="26" spans="4:17" x14ac:dyDescent="0.25">
      <c r="D26" s="1"/>
      <c r="E26" s="1"/>
      <c r="F26" s="1"/>
      <c r="G26" s="15">
        <v>5</v>
      </c>
      <c r="H26" t="s">
        <v>46</v>
      </c>
      <c r="I26" s="74">
        <v>0.34722222222222227</v>
      </c>
      <c r="J26" s="74">
        <v>0.63194444444444442</v>
      </c>
      <c r="K26" s="20">
        <v>0</v>
      </c>
      <c r="L26" s="20">
        <v>0</v>
      </c>
      <c r="M26" s="15">
        <v>0</v>
      </c>
      <c r="N26" s="15">
        <v>0</v>
      </c>
      <c r="O26" s="20">
        <v>0.1</v>
      </c>
    </row>
    <row r="27" spans="4:17" x14ac:dyDescent="0.25">
      <c r="D27" s="1"/>
      <c r="E27" s="1"/>
      <c r="F27" s="1"/>
      <c r="G27" s="22">
        <v>6</v>
      </c>
      <c r="H27" t="s">
        <v>47</v>
      </c>
      <c r="I27" s="95">
        <v>0.33333333333333331</v>
      </c>
      <c r="J27" s="95">
        <v>0.625</v>
      </c>
      <c r="K27" s="20">
        <v>0</v>
      </c>
      <c r="L27" s="20">
        <v>0</v>
      </c>
      <c r="M27" s="15">
        <v>0</v>
      </c>
      <c r="N27" s="15">
        <v>0</v>
      </c>
      <c r="O27" s="20">
        <v>0</v>
      </c>
    </row>
    <row r="28" spans="4:17" x14ac:dyDescent="0.25">
      <c r="D28" s="1"/>
      <c r="E28" s="1"/>
      <c r="F28" s="1"/>
      <c r="G28" s="78">
        <v>7</v>
      </c>
      <c r="H28" s="79" t="s">
        <v>48</v>
      </c>
      <c r="I28" s="81">
        <v>0</v>
      </c>
      <c r="J28" s="81">
        <v>0</v>
      </c>
      <c r="K28" s="81">
        <v>0</v>
      </c>
      <c r="L28" s="81">
        <v>0</v>
      </c>
      <c r="M28" s="78">
        <v>0</v>
      </c>
      <c r="N28" s="78">
        <v>0</v>
      </c>
      <c r="O28" s="81">
        <v>0</v>
      </c>
    </row>
    <row r="29" spans="4:17" x14ac:dyDescent="0.25">
      <c r="D29" s="1"/>
      <c r="E29" s="1"/>
      <c r="F29" s="1"/>
      <c r="G29" s="78">
        <v>8</v>
      </c>
      <c r="H29" s="79" t="s">
        <v>44</v>
      </c>
      <c r="I29" s="81">
        <v>0</v>
      </c>
      <c r="J29" s="81">
        <v>0</v>
      </c>
      <c r="K29" s="81">
        <v>0</v>
      </c>
      <c r="L29" s="81">
        <v>0</v>
      </c>
      <c r="M29" s="78">
        <v>0</v>
      </c>
      <c r="N29" s="78">
        <v>0</v>
      </c>
      <c r="O29" s="81">
        <v>0</v>
      </c>
      <c r="Q29" t="s">
        <v>63</v>
      </c>
    </row>
    <row r="30" spans="4:17" x14ac:dyDescent="0.25">
      <c r="D30" s="1"/>
      <c r="E30" s="1"/>
      <c r="F30" s="1"/>
      <c r="G30" s="78">
        <v>9</v>
      </c>
      <c r="H30" s="79" t="s">
        <v>49</v>
      </c>
      <c r="I30" s="81">
        <v>0</v>
      </c>
      <c r="J30" s="81">
        <v>0</v>
      </c>
      <c r="K30" s="81">
        <v>0</v>
      </c>
      <c r="L30" s="81">
        <v>0</v>
      </c>
      <c r="M30" s="78">
        <v>0</v>
      </c>
      <c r="N30" s="78">
        <v>0</v>
      </c>
      <c r="O30" s="81">
        <v>0</v>
      </c>
    </row>
    <row r="31" spans="4:17" x14ac:dyDescent="0.25">
      <c r="D31" s="1"/>
      <c r="E31" s="1"/>
      <c r="F31" s="1"/>
      <c r="G31" s="78">
        <v>10</v>
      </c>
      <c r="H31" s="79" t="s">
        <v>50</v>
      </c>
      <c r="I31" s="81">
        <v>0</v>
      </c>
      <c r="J31" s="81">
        <v>0</v>
      </c>
      <c r="K31" s="81">
        <v>0</v>
      </c>
      <c r="L31" s="81">
        <v>0</v>
      </c>
      <c r="M31" s="78">
        <v>0</v>
      </c>
      <c r="N31" s="78">
        <v>0</v>
      </c>
      <c r="O31" s="81">
        <v>0</v>
      </c>
    </row>
    <row r="32" spans="4:17" x14ac:dyDescent="0.25">
      <c r="D32" s="1"/>
      <c r="E32" s="1"/>
      <c r="F32" s="1"/>
      <c r="G32" s="78">
        <v>11</v>
      </c>
      <c r="H32" s="79" t="s">
        <v>51</v>
      </c>
      <c r="I32" s="81">
        <v>0</v>
      </c>
      <c r="J32" s="81">
        <v>0</v>
      </c>
      <c r="K32" s="81">
        <v>0</v>
      </c>
      <c r="L32" s="81">
        <v>0</v>
      </c>
      <c r="M32" s="78">
        <v>0</v>
      </c>
      <c r="N32" s="78">
        <v>0</v>
      </c>
      <c r="O32" s="81">
        <v>0</v>
      </c>
    </row>
    <row r="33" spans="4:15" x14ac:dyDescent="0.25">
      <c r="D33" s="1"/>
      <c r="E33" s="1"/>
      <c r="F33" s="1"/>
      <c r="G33" s="78">
        <v>12</v>
      </c>
      <c r="H33" s="79" t="s">
        <v>46</v>
      </c>
      <c r="I33" s="81">
        <v>0</v>
      </c>
      <c r="J33" s="81">
        <v>0</v>
      </c>
      <c r="K33" s="81">
        <v>0</v>
      </c>
      <c r="L33" s="81">
        <v>0</v>
      </c>
      <c r="M33" s="78">
        <v>0</v>
      </c>
      <c r="N33" s="78">
        <v>0</v>
      </c>
      <c r="O33" s="81">
        <v>0</v>
      </c>
    </row>
    <row r="34" spans="4:15" x14ac:dyDescent="0.25">
      <c r="D34" s="1"/>
      <c r="E34" s="1"/>
      <c r="F34" s="1"/>
      <c r="G34" s="78">
        <v>13</v>
      </c>
      <c r="H34" s="79" t="s">
        <v>47</v>
      </c>
      <c r="I34" s="81">
        <v>0</v>
      </c>
      <c r="J34" s="81">
        <v>0</v>
      </c>
      <c r="K34" s="81">
        <v>0</v>
      </c>
      <c r="L34" s="81">
        <v>0</v>
      </c>
      <c r="M34" s="78">
        <v>0</v>
      </c>
      <c r="N34" s="78">
        <v>0</v>
      </c>
      <c r="O34" s="81">
        <v>0</v>
      </c>
    </row>
    <row r="35" spans="4:15" x14ac:dyDescent="0.25">
      <c r="D35" s="1"/>
      <c r="E35" s="1"/>
      <c r="F35" s="1"/>
      <c r="G35" s="78">
        <v>14</v>
      </c>
      <c r="H35" s="79" t="s">
        <v>48</v>
      </c>
      <c r="I35" s="81">
        <v>0</v>
      </c>
      <c r="J35" s="81">
        <v>0</v>
      </c>
      <c r="K35" s="81">
        <v>0</v>
      </c>
      <c r="L35" s="81">
        <v>0</v>
      </c>
      <c r="M35" s="78">
        <v>0</v>
      </c>
      <c r="N35" s="78">
        <v>0</v>
      </c>
      <c r="O35" s="81">
        <v>0</v>
      </c>
    </row>
    <row r="36" spans="4:15" x14ac:dyDescent="0.25">
      <c r="D36" s="1"/>
      <c r="E36" s="1"/>
      <c r="F36" s="1"/>
      <c r="G36" s="78">
        <v>15</v>
      </c>
      <c r="H36" s="79" t="s">
        <v>44</v>
      </c>
      <c r="I36" s="81">
        <v>0</v>
      </c>
      <c r="J36" s="81">
        <v>0</v>
      </c>
      <c r="K36" s="81">
        <v>0</v>
      </c>
      <c r="L36" s="81">
        <v>0</v>
      </c>
      <c r="M36" s="78">
        <v>0</v>
      </c>
      <c r="N36" s="78">
        <v>0</v>
      </c>
      <c r="O36" s="81">
        <v>0</v>
      </c>
    </row>
    <row r="37" spans="4:15" x14ac:dyDescent="0.25">
      <c r="D37" s="1"/>
      <c r="E37" s="1"/>
      <c r="F37" s="1"/>
      <c r="G37" s="78">
        <v>16</v>
      </c>
      <c r="H37" s="79" t="s">
        <v>49</v>
      </c>
      <c r="I37" s="81">
        <v>0</v>
      </c>
      <c r="J37" s="81">
        <v>0</v>
      </c>
      <c r="K37" s="81">
        <v>0</v>
      </c>
      <c r="L37" s="81">
        <v>0</v>
      </c>
      <c r="M37" s="78">
        <v>0</v>
      </c>
      <c r="N37" s="78">
        <v>0</v>
      </c>
      <c r="O37" s="81">
        <v>0</v>
      </c>
    </row>
    <row r="38" spans="4:15" x14ac:dyDescent="0.25">
      <c r="D38" s="1"/>
      <c r="E38" s="1"/>
      <c r="F38" s="1"/>
      <c r="G38" s="78">
        <v>17</v>
      </c>
      <c r="H38" s="79" t="s">
        <v>50</v>
      </c>
      <c r="I38" s="81">
        <v>0</v>
      </c>
      <c r="J38" s="81">
        <v>0</v>
      </c>
      <c r="K38" s="81">
        <v>0</v>
      </c>
      <c r="L38" s="81">
        <v>0</v>
      </c>
      <c r="M38" s="78">
        <v>0</v>
      </c>
      <c r="N38" s="78">
        <v>0</v>
      </c>
      <c r="O38" s="81">
        <v>0</v>
      </c>
    </row>
    <row r="39" spans="4:15" x14ac:dyDescent="0.25">
      <c r="D39" s="1"/>
      <c r="E39" s="1"/>
      <c r="F39" s="1"/>
      <c r="G39" s="78">
        <v>18</v>
      </c>
      <c r="H39" s="79" t="s">
        <v>51</v>
      </c>
      <c r="I39" s="81">
        <v>0</v>
      </c>
      <c r="J39" s="81">
        <v>0</v>
      </c>
      <c r="K39" s="81">
        <v>0</v>
      </c>
      <c r="L39" s="81">
        <v>0</v>
      </c>
      <c r="M39" s="78">
        <v>0</v>
      </c>
      <c r="N39" s="78">
        <v>0</v>
      </c>
      <c r="O39" s="81">
        <v>0</v>
      </c>
    </row>
    <row r="40" spans="4:15" x14ac:dyDescent="0.25">
      <c r="D40" s="1"/>
      <c r="E40" s="1"/>
      <c r="F40" s="1"/>
      <c r="G40" s="78">
        <v>19</v>
      </c>
      <c r="H40" s="79" t="s">
        <v>46</v>
      </c>
      <c r="I40" s="81">
        <v>0</v>
      </c>
      <c r="J40" s="81">
        <v>0</v>
      </c>
      <c r="K40" s="81">
        <v>0</v>
      </c>
      <c r="L40" s="81">
        <v>0</v>
      </c>
      <c r="M40" s="78">
        <v>0</v>
      </c>
      <c r="N40" s="78">
        <v>0</v>
      </c>
      <c r="O40" s="81">
        <v>0</v>
      </c>
    </row>
    <row r="41" spans="4:15" x14ac:dyDescent="0.25">
      <c r="D41" s="1"/>
      <c r="E41" s="1"/>
      <c r="F41" s="1"/>
      <c r="G41" s="78">
        <v>20</v>
      </c>
      <c r="H41" s="79" t="s">
        <v>47</v>
      </c>
      <c r="I41" s="81">
        <v>0</v>
      </c>
      <c r="J41" s="81">
        <v>0</v>
      </c>
      <c r="K41" s="81">
        <v>0</v>
      </c>
      <c r="L41" s="81">
        <v>0</v>
      </c>
      <c r="M41" s="78">
        <v>0</v>
      </c>
      <c r="N41" s="78">
        <v>0</v>
      </c>
      <c r="O41" s="81">
        <v>0</v>
      </c>
    </row>
    <row r="42" spans="4:15" x14ac:dyDescent="0.25">
      <c r="D42" s="1"/>
      <c r="E42" s="1"/>
      <c r="F42" s="1"/>
      <c r="G42" s="78">
        <v>21</v>
      </c>
      <c r="H42" s="79" t="s">
        <v>48</v>
      </c>
      <c r="I42" s="81">
        <v>0</v>
      </c>
      <c r="J42" s="81">
        <v>0</v>
      </c>
      <c r="K42" s="81">
        <v>0</v>
      </c>
      <c r="L42" s="81">
        <v>0</v>
      </c>
      <c r="M42" s="78">
        <v>0</v>
      </c>
      <c r="N42" s="78">
        <v>0</v>
      </c>
      <c r="O42" s="81">
        <v>0</v>
      </c>
    </row>
    <row r="43" spans="4:15" x14ac:dyDescent="0.25">
      <c r="D43" s="1"/>
      <c r="E43" s="1"/>
      <c r="F43" s="1"/>
      <c r="G43" s="78">
        <v>22</v>
      </c>
      <c r="H43" s="79" t="s">
        <v>44</v>
      </c>
      <c r="I43" s="81">
        <v>0</v>
      </c>
      <c r="J43" s="81">
        <v>0</v>
      </c>
      <c r="K43" s="81">
        <v>0</v>
      </c>
      <c r="L43" s="81">
        <v>0</v>
      </c>
      <c r="M43" s="78">
        <v>0</v>
      </c>
      <c r="N43" s="78">
        <v>0</v>
      </c>
      <c r="O43" s="81">
        <v>0</v>
      </c>
    </row>
    <row r="44" spans="4:15" x14ac:dyDescent="0.25">
      <c r="D44" s="1"/>
      <c r="E44" s="1"/>
      <c r="F44" s="1"/>
      <c r="G44" s="78">
        <v>23</v>
      </c>
      <c r="H44" s="79" t="s">
        <v>49</v>
      </c>
      <c r="I44" s="81">
        <v>0</v>
      </c>
      <c r="J44" s="81">
        <v>0</v>
      </c>
      <c r="K44" s="81">
        <v>0</v>
      </c>
      <c r="L44" s="81">
        <v>0</v>
      </c>
      <c r="M44" s="78">
        <v>0</v>
      </c>
      <c r="N44" s="78">
        <v>0</v>
      </c>
      <c r="O44" s="81">
        <v>0</v>
      </c>
    </row>
    <row r="45" spans="4:15" x14ac:dyDescent="0.25">
      <c r="D45" s="1"/>
      <c r="E45" s="1"/>
      <c r="F45" s="1"/>
      <c r="G45" s="78">
        <v>24</v>
      </c>
      <c r="H45" s="79" t="s">
        <v>50</v>
      </c>
      <c r="I45" s="81">
        <v>0</v>
      </c>
      <c r="J45" s="81">
        <v>0</v>
      </c>
      <c r="K45" s="81">
        <v>0</v>
      </c>
      <c r="L45" s="81">
        <v>0</v>
      </c>
      <c r="M45" s="78">
        <v>0</v>
      </c>
      <c r="N45" s="78">
        <v>0</v>
      </c>
      <c r="O45" s="81">
        <v>0</v>
      </c>
    </row>
    <row r="46" spans="4:15" x14ac:dyDescent="0.25">
      <c r="D46" s="1"/>
      <c r="E46" s="1"/>
      <c r="F46" s="1"/>
      <c r="G46" s="78">
        <v>25</v>
      </c>
      <c r="H46" s="79" t="s">
        <v>51</v>
      </c>
      <c r="I46" s="81">
        <v>0</v>
      </c>
      <c r="J46" s="81">
        <v>0</v>
      </c>
      <c r="K46" s="81">
        <v>0</v>
      </c>
      <c r="L46" s="81">
        <v>0</v>
      </c>
      <c r="M46" s="78">
        <v>0</v>
      </c>
      <c r="N46" s="78">
        <v>0</v>
      </c>
      <c r="O46" s="81">
        <v>0</v>
      </c>
    </row>
    <row r="47" spans="4:15" x14ac:dyDescent="0.25">
      <c r="D47" s="1"/>
      <c r="E47" s="1"/>
      <c r="F47" s="1"/>
      <c r="G47" s="78">
        <v>26</v>
      </c>
      <c r="H47" s="79" t="s">
        <v>46</v>
      </c>
      <c r="I47" s="81">
        <v>0</v>
      </c>
      <c r="J47" s="81">
        <v>0</v>
      </c>
      <c r="K47" s="81">
        <v>0</v>
      </c>
      <c r="L47" s="81">
        <v>0</v>
      </c>
      <c r="M47" s="78">
        <v>0</v>
      </c>
      <c r="N47" s="78">
        <v>0</v>
      </c>
      <c r="O47" s="81">
        <v>0</v>
      </c>
    </row>
    <row r="48" spans="4:15" x14ac:dyDescent="0.25">
      <c r="D48" s="1"/>
      <c r="E48" s="1"/>
      <c r="F48" s="1"/>
      <c r="G48" s="78">
        <v>27</v>
      </c>
      <c r="H48" s="79" t="s">
        <v>47</v>
      </c>
      <c r="I48" s="81">
        <v>0</v>
      </c>
      <c r="J48" s="81">
        <v>0</v>
      </c>
      <c r="K48" s="81">
        <v>0</v>
      </c>
      <c r="L48" s="81">
        <v>0</v>
      </c>
      <c r="M48" s="78">
        <v>0</v>
      </c>
      <c r="N48" s="78">
        <v>0</v>
      </c>
      <c r="O48" s="81">
        <v>0</v>
      </c>
    </row>
    <row r="49" spans="4:15" x14ac:dyDescent="0.25">
      <c r="D49" s="1"/>
      <c r="E49" s="1"/>
      <c r="F49" s="1"/>
      <c r="G49" s="78">
        <v>28</v>
      </c>
      <c r="H49" s="79" t="s">
        <v>48</v>
      </c>
      <c r="I49" s="81">
        <v>0</v>
      </c>
      <c r="J49" s="81">
        <v>0</v>
      </c>
      <c r="K49" s="81">
        <v>0</v>
      </c>
      <c r="L49" s="81">
        <v>0</v>
      </c>
      <c r="M49" s="78">
        <v>0</v>
      </c>
      <c r="N49" s="78">
        <v>0</v>
      </c>
      <c r="O49" s="81">
        <v>0</v>
      </c>
    </row>
    <row r="50" spans="4:15" x14ac:dyDescent="0.25">
      <c r="D50" s="1"/>
      <c r="E50" s="1"/>
      <c r="F50" s="1"/>
      <c r="G50" s="78">
        <v>29</v>
      </c>
      <c r="H50" s="79" t="s">
        <v>44</v>
      </c>
      <c r="I50" s="81">
        <v>0</v>
      </c>
      <c r="J50" s="81">
        <v>0</v>
      </c>
      <c r="K50" s="81">
        <v>0</v>
      </c>
      <c r="L50" s="81">
        <v>0</v>
      </c>
      <c r="M50" s="78">
        <v>0</v>
      </c>
      <c r="N50" s="78">
        <v>0</v>
      </c>
      <c r="O50" s="81">
        <v>0</v>
      </c>
    </row>
    <row r="51" spans="4:15" x14ac:dyDescent="0.25">
      <c r="D51" s="1"/>
      <c r="E51" s="1"/>
      <c r="F51" s="1"/>
      <c r="G51" s="78">
        <v>30</v>
      </c>
      <c r="H51" s="79" t="s">
        <v>49</v>
      </c>
      <c r="I51" s="81">
        <v>0</v>
      </c>
      <c r="J51" s="81">
        <v>0</v>
      </c>
      <c r="K51" s="81">
        <v>0</v>
      </c>
      <c r="L51" s="81">
        <v>0</v>
      </c>
      <c r="M51" s="78">
        <v>0</v>
      </c>
      <c r="N51" s="78">
        <v>0</v>
      </c>
      <c r="O51" s="81">
        <v>0</v>
      </c>
    </row>
    <row r="52" spans="4:15" x14ac:dyDescent="0.25">
      <c r="D52" s="1"/>
      <c r="E52" s="1"/>
      <c r="F52" s="1"/>
      <c r="G52" s="78">
        <v>31</v>
      </c>
      <c r="H52" s="79" t="s">
        <v>50</v>
      </c>
      <c r="I52" s="81">
        <v>0</v>
      </c>
      <c r="J52" s="81">
        <v>0</v>
      </c>
      <c r="K52" s="81">
        <v>0</v>
      </c>
      <c r="L52" s="81">
        <v>0</v>
      </c>
      <c r="M52" s="78">
        <v>0</v>
      </c>
      <c r="N52" s="78">
        <v>0</v>
      </c>
      <c r="O52" s="81">
        <v>0</v>
      </c>
    </row>
    <row r="53" spans="4:15" ht="24.75" customHeight="1" x14ac:dyDescent="0.25">
      <c r="D53" s="1"/>
      <c r="E53" s="1"/>
      <c r="F53" s="1"/>
      <c r="G53" s="2"/>
      <c r="H53" s="126" t="s">
        <v>6</v>
      </c>
      <c r="I53" s="126"/>
      <c r="J53" s="126"/>
      <c r="K53" s="17"/>
      <c r="L53" s="37">
        <v>0</v>
      </c>
      <c r="M53" s="19">
        <f>SUM(M22:M51)</f>
        <v>0</v>
      </c>
      <c r="N53" s="2">
        <f>SUM(N22:N51)</f>
        <v>0</v>
      </c>
      <c r="O53" s="37">
        <v>1.1000000000000001</v>
      </c>
    </row>
    <row r="55" spans="4:15" ht="21" x14ac:dyDescent="0.35">
      <c r="H55" s="39" t="s">
        <v>0</v>
      </c>
      <c r="I55" s="117" t="str">
        <f>H19</f>
        <v>Sohail</v>
      </c>
      <c r="J55" s="119"/>
      <c r="K55" s="119"/>
      <c r="L55" s="119"/>
      <c r="M55" s="118"/>
    </row>
    <row r="56" spans="4:15" ht="21" x14ac:dyDescent="0.35">
      <c r="H56" s="39" t="s">
        <v>74</v>
      </c>
      <c r="I56" s="139" t="s">
        <v>163</v>
      </c>
      <c r="J56" s="140"/>
      <c r="K56" s="139">
        <v>5000</v>
      </c>
      <c r="L56" s="141"/>
      <c r="M56" s="140"/>
    </row>
    <row r="57" spans="4:15" ht="21" x14ac:dyDescent="0.35">
      <c r="H57" s="39" t="s">
        <v>54</v>
      </c>
      <c r="I57" s="128">
        <f>L53</f>
        <v>0</v>
      </c>
      <c r="J57" s="129"/>
      <c r="K57" s="136">
        <f>O14</f>
        <v>0</v>
      </c>
      <c r="L57" s="137"/>
      <c r="M57" s="138"/>
    </row>
    <row r="58" spans="4:15" ht="21" x14ac:dyDescent="0.35">
      <c r="H58" s="39" t="s">
        <v>32</v>
      </c>
      <c r="I58" s="117">
        <f>M53</f>
        <v>0</v>
      </c>
      <c r="J58" s="119"/>
      <c r="K58" s="119"/>
      <c r="L58" s="119"/>
      <c r="M58" s="118"/>
    </row>
    <row r="59" spans="4:15" ht="21" x14ac:dyDescent="0.35">
      <c r="H59" s="39" t="s">
        <v>5</v>
      </c>
      <c r="I59" s="117">
        <f>N53</f>
        <v>0</v>
      </c>
      <c r="J59" s="119"/>
      <c r="K59" s="119"/>
      <c r="L59" s="119"/>
      <c r="M59" s="118"/>
    </row>
    <row r="60" spans="4:15" ht="21" x14ac:dyDescent="0.35">
      <c r="H60" s="39" t="s">
        <v>3</v>
      </c>
      <c r="I60" s="117">
        <v>300</v>
      </c>
      <c r="J60" s="119"/>
      <c r="K60" s="119"/>
      <c r="L60" s="119"/>
      <c r="M60" s="118"/>
    </row>
    <row r="61" spans="4:15" ht="21" x14ac:dyDescent="0.35">
      <c r="H61" s="39" t="s">
        <v>77</v>
      </c>
      <c r="I61" s="136">
        <f>M14+K57+I58+I59+I60</f>
        <v>5300</v>
      </c>
      <c r="J61" s="137"/>
      <c r="K61" s="137"/>
      <c r="L61" s="137"/>
      <c r="M61" s="138"/>
    </row>
    <row r="62" spans="4:15" ht="21" x14ac:dyDescent="0.35">
      <c r="H62" s="39" t="s">
        <v>43</v>
      </c>
      <c r="I62" s="128">
        <f>O53</f>
        <v>1.1000000000000001</v>
      </c>
      <c r="J62" s="129"/>
      <c r="K62" s="117">
        <f>Q14</f>
        <v>121</v>
      </c>
      <c r="L62" s="119"/>
      <c r="M62" s="118"/>
    </row>
    <row r="63" spans="4:15" ht="21" x14ac:dyDescent="0.35">
      <c r="H63" s="39" t="s">
        <v>75</v>
      </c>
      <c r="I63" s="117">
        <v>0</v>
      </c>
      <c r="J63" s="119"/>
      <c r="K63" s="119"/>
      <c r="L63" s="119"/>
      <c r="M63" s="118"/>
    </row>
    <row r="64" spans="4:15" ht="21" x14ac:dyDescent="0.35">
      <c r="H64" s="39" t="s">
        <v>4</v>
      </c>
      <c r="I64" s="48"/>
      <c r="J64" s="48"/>
      <c r="K64" s="48"/>
      <c r="L64" s="48"/>
      <c r="M64" s="39"/>
    </row>
    <row r="65" spans="8:49" ht="21" x14ac:dyDescent="0.35">
      <c r="H65" s="40" t="s">
        <v>76</v>
      </c>
      <c r="I65" s="39"/>
      <c r="J65" s="39"/>
      <c r="K65" s="39"/>
      <c r="L65" s="39"/>
      <c r="M65" s="39"/>
    </row>
    <row r="66" spans="8:49" ht="21" x14ac:dyDescent="0.35">
      <c r="H66" s="40" t="s">
        <v>81</v>
      </c>
      <c r="I66" s="136">
        <f>I61-K62-I64-J64-K64-L64-M64-I65-J65-K65-L65-M65</f>
        <v>5179</v>
      </c>
      <c r="J66" s="137"/>
      <c r="K66" s="137"/>
      <c r="L66" s="137"/>
      <c r="M66" s="138"/>
    </row>
    <row r="67" spans="8:49" ht="21" x14ac:dyDescent="0.35">
      <c r="H67" s="40" t="s">
        <v>164</v>
      </c>
      <c r="I67" s="107">
        <v>2343</v>
      </c>
      <c r="J67" s="107"/>
      <c r="K67" s="107"/>
      <c r="L67" s="107"/>
      <c r="M67" s="107"/>
    </row>
    <row r="68" spans="8:49" ht="21" x14ac:dyDescent="0.35">
      <c r="H68" s="40" t="s">
        <v>6</v>
      </c>
      <c r="I68" s="136">
        <f>I66+I67</f>
        <v>7522</v>
      </c>
      <c r="J68" s="119"/>
      <c r="K68" s="119"/>
      <c r="L68" s="119"/>
      <c r="M68" s="118"/>
    </row>
    <row r="79" spans="8:49" ht="15.75" thickBot="1" x14ac:dyDescent="0.3"/>
    <row r="80" spans="8:49" x14ac:dyDescent="0.25">
      <c r="AJ80" s="108" t="s">
        <v>11</v>
      </c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10"/>
    </row>
    <row r="81" spans="36:49" x14ac:dyDescent="0.25">
      <c r="AJ81" s="111"/>
      <c r="AK81" s="112"/>
      <c r="AL81" s="112"/>
      <c r="AM81" s="112"/>
      <c r="AN81" s="112"/>
      <c r="AO81" s="112"/>
      <c r="AP81" s="112"/>
      <c r="AQ81" s="112"/>
      <c r="AR81" s="112"/>
      <c r="AS81" s="112"/>
      <c r="AT81" s="112"/>
      <c r="AU81" s="112"/>
      <c r="AV81" s="112"/>
      <c r="AW81" s="113"/>
    </row>
    <row r="82" spans="36:49" ht="15.75" thickBot="1" x14ac:dyDescent="0.3">
      <c r="AJ82" s="114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6"/>
    </row>
    <row r="83" spans="36:49" ht="60.75" thickBot="1" x14ac:dyDescent="0.3">
      <c r="AJ83" s="5" t="s">
        <v>12</v>
      </c>
      <c r="AK83" s="6" t="s">
        <v>13</v>
      </c>
      <c r="AL83" s="6" t="s">
        <v>14</v>
      </c>
      <c r="AM83" s="6" t="s">
        <v>15</v>
      </c>
      <c r="AN83" s="6" t="s">
        <v>16</v>
      </c>
      <c r="AO83" s="6" t="s">
        <v>17</v>
      </c>
      <c r="AP83" s="6" t="s">
        <v>18</v>
      </c>
      <c r="AQ83" s="6" t="s">
        <v>19</v>
      </c>
      <c r="AR83" s="6" t="s">
        <v>20</v>
      </c>
      <c r="AS83" s="6" t="s">
        <v>21</v>
      </c>
      <c r="AT83" s="6" t="s">
        <v>22</v>
      </c>
      <c r="AU83" s="6" t="s">
        <v>23</v>
      </c>
      <c r="AV83" s="6" t="s">
        <v>24</v>
      </c>
      <c r="AW83" s="7" t="s">
        <v>25</v>
      </c>
    </row>
    <row r="84" spans="36:49" x14ac:dyDescent="0.25">
      <c r="AJ84">
        <v>2001</v>
      </c>
      <c r="AK84" t="s">
        <v>26</v>
      </c>
      <c r="AL84" t="s">
        <v>27</v>
      </c>
      <c r="AM84">
        <v>50000</v>
      </c>
      <c r="AN84">
        <v>28</v>
      </c>
      <c r="AO84" s="4">
        <f>AM84/30*AN84</f>
        <v>46666.666666666672</v>
      </c>
      <c r="AP84">
        <v>8000</v>
      </c>
      <c r="AQ84">
        <v>6000</v>
      </c>
      <c r="AR84" s="8">
        <v>60</v>
      </c>
      <c r="AS84">
        <f>AM84/30/8*AR84</f>
        <v>12500</v>
      </c>
      <c r="AT84" s="4">
        <f>AO84+AP84+AQ84+AS84</f>
        <v>73166.666666666672</v>
      </c>
      <c r="AU84">
        <f>AO84*12%</f>
        <v>5600</v>
      </c>
      <c r="AV84">
        <f>AO84*0.75%</f>
        <v>350</v>
      </c>
      <c r="AW84" s="4">
        <f>AT84-AU84-AV84</f>
        <v>67216.666666666672</v>
      </c>
    </row>
    <row r="85" spans="36:49" x14ac:dyDescent="0.25">
      <c r="AJ85">
        <v>2002</v>
      </c>
      <c r="AK85" t="s">
        <v>28</v>
      </c>
      <c r="AL85" t="s">
        <v>29</v>
      </c>
      <c r="AM85">
        <v>35000</v>
      </c>
      <c r="AN85">
        <v>29</v>
      </c>
      <c r="AO85" s="4">
        <f>AM85/30*AN85</f>
        <v>33833.333333333336</v>
      </c>
      <c r="AP85">
        <v>5000</v>
      </c>
      <c r="AQ85">
        <v>5000</v>
      </c>
      <c r="AR85" s="8">
        <v>50</v>
      </c>
      <c r="AS85" s="4">
        <f>AM85/30/8*AR85</f>
        <v>7291.666666666667</v>
      </c>
      <c r="AT85" s="4">
        <f>AO85+AP85+AQ85+AS85</f>
        <v>51125</v>
      </c>
      <c r="AU85">
        <f>AO85*12%</f>
        <v>4060</v>
      </c>
      <c r="AV85" s="4">
        <f>AO85*0.75%</f>
        <v>253.75</v>
      </c>
      <c r="AW85" s="4">
        <f>AT85-AU85-AV85</f>
        <v>46811.25</v>
      </c>
    </row>
    <row r="86" spans="36:49" x14ac:dyDescent="0.25">
      <c r="AO86" s="4"/>
      <c r="AS86" s="4"/>
    </row>
  </sheetData>
  <mergeCells count="21">
    <mergeCell ref="G9:O10"/>
    <mergeCell ref="I22:O22"/>
    <mergeCell ref="I55:M55"/>
    <mergeCell ref="H17:M17"/>
    <mergeCell ref="H19:O19"/>
    <mergeCell ref="H53:J53"/>
    <mergeCell ref="I56:J56"/>
    <mergeCell ref="K56:M56"/>
    <mergeCell ref="I57:J57"/>
    <mergeCell ref="K57:M57"/>
    <mergeCell ref="I59:M59"/>
    <mergeCell ref="I58:M58"/>
    <mergeCell ref="I60:M60"/>
    <mergeCell ref="I62:J62"/>
    <mergeCell ref="K62:M62"/>
    <mergeCell ref="I66:M66"/>
    <mergeCell ref="AJ80:AW82"/>
    <mergeCell ref="I63:M63"/>
    <mergeCell ref="I61:M61"/>
    <mergeCell ref="I67:M67"/>
    <mergeCell ref="I68:M68"/>
  </mergeCells>
  <pageMargins left="0" right="0" top="1.3385826771653544" bottom="0.74803149606299213" header="0.31496062992125984" footer="0.31496062992125984"/>
  <pageSetup paperSize="9"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Muddasir</vt:lpstr>
      <vt:lpstr>Ataullah</vt:lpstr>
      <vt:lpstr>Anwar</vt:lpstr>
      <vt:lpstr>Shoaib</vt:lpstr>
      <vt:lpstr>Bilal</vt:lpstr>
      <vt:lpstr>A Rafay 2 Folding  </vt:lpstr>
      <vt:lpstr>Amir ustaad</vt:lpstr>
      <vt:lpstr> Faheem Cutting</vt:lpstr>
      <vt:lpstr>Daniyal</vt:lpstr>
      <vt:lpstr>Shahzad</vt:lpstr>
      <vt:lpstr>Ghaffar</vt:lpstr>
      <vt:lpstr>Adnan</vt:lpstr>
      <vt:lpstr>Najmi Bhai</vt:lpstr>
      <vt:lpstr>Irfan Bhai</vt:lpstr>
      <vt:lpstr>Ahmed</vt:lpstr>
      <vt:lpstr>Ali</vt:lpstr>
      <vt:lpstr>Amir office</vt:lpstr>
      <vt:lpstr>Imran Loader</vt:lpstr>
      <vt:lpstr>Mazhar</vt:lpstr>
      <vt:lpstr>Hamid</vt:lpstr>
      <vt:lpstr>Hassan Raza</vt:lpstr>
      <vt:lpstr>Ishtiaq</vt:lpstr>
      <vt:lpstr>Sohail printing</vt:lpstr>
      <vt:lpstr>Muneer</vt:lpstr>
      <vt:lpstr>Hunain</vt:lpstr>
      <vt:lpstr>Sajjad</vt:lpstr>
      <vt:lpstr>Fareed</vt:lpstr>
      <vt:lpstr>Shazil</vt:lpstr>
      <vt:lpstr>Sami Folding</vt:lpstr>
      <vt:lpstr>Arsalan</vt:lpstr>
      <vt:lpstr>Ubaid</vt:lpstr>
      <vt:lpstr>Zohaib</vt:lpstr>
      <vt:lpstr>Faheem Sorter</vt:lpstr>
      <vt:lpstr>Owais</vt:lpstr>
      <vt:lpstr>Hammad</vt:lpstr>
      <vt:lpstr>Imtiaz</vt:lpstr>
      <vt:lpstr>Sunny</vt:lpstr>
      <vt:lpstr>Rafay</vt:lpstr>
      <vt:lpstr>M. Faheem</vt:lpstr>
      <vt:lpstr>Junaid</vt:lpstr>
      <vt:lpstr>Umar Farooq</vt:lpstr>
      <vt:lpstr>Bilal Folding</vt:lpstr>
      <vt:lpstr>Sameer printing</vt:lpstr>
      <vt:lpstr>Bilal Incharge</vt:lpstr>
      <vt:lpstr>Sadiq </vt:lpstr>
      <vt:lpstr>Sohail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2026-03-12T09:50:24Z</cp:lastPrinted>
  <dcterms:created xsi:type="dcterms:W3CDTF">2026-01-10T04:10:02Z</dcterms:created>
  <dcterms:modified xsi:type="dcterms:W3CDTF">2026-03-12T09:53:11Z</dcterms:modified>
</cp:coreProperties>
</file>